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김영준\Documents\GitHub\Kcqt_Csi_project\static\excel_templates\"/>
    </mc:Choice>
  </mc:AlternateContent>
  <bookViews>
    <workbookView xWindow="0" yWindow="0" windowWidth="28800" windowHeight="11625"/>
  </bookViews>
  <sheets>
    <sheet name="내역" sheetId="1" r:id="rId1"/>
    <sheet name="그림" sheetId="2" r:id="rId2"/>
  </sheets>
  <definedNames>
    <definedName name="_xlnm._FilterDatabase" localSheetId="0" hidden="1">내역!$A$4:$T$90</definedName>
    <definedName name="_xlnm.Print_Area" localSheetId="0">내역!$A$1:$K$90</definedName>
    <definedName name="_xlnm.Print_Titles" localSheetId="0">내역!$4:$4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" i="1" l="1"/>
  <c r="T6" i="1" s="1"/>
  <c r="T5" i="1"/>
  <c r="R5" i="1" l="1"/>
  <c r="Q5" i="1"/>
  <c r="P5" i="1"/>
  <c r="U119" i="1" l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Q6" i="1" s="1"/>
  <c r="U13" i="1"/>
  <c r="U12" i="1"/>
  <c r="U11" i="1"/>
  <c r="U10" i="1"/>
  <c r="U9" i="1"/>
  <c r="U8" i="1"/>
  <c r="U7" i="1"/>
  <c r="U6" i="1"/>
  <c r="U5" i="1"/>
  <c r="R6" i="1" s="1"/>
  <c r="P6" i="1" l="1"/>
</calcChain>
</file>

<file path=xl/sharedStrings.xml><?xml version="1.0" encoding="utf-8"?>
<sst xmlns="http://schemas.openxmlformats.org/spreadsheetml/2006/main" count="76" uniqueCount="66">
  <si>
    <t>현장시험 및 시료수거 내역</t>
    <phoneticPr fontId="2" type="noConversion"/>
  </si>
  <si>
    <t>번호</t>
    <phoneticPr fontId="2" type="noConversion"/>
  </si>
  <si>
    <t>시험&amp;수거일</t>
    <phoneticPr fontId="2" type="noConversion"/>
  </si>
  <si>
    <t>의뢰업체명</t>
    <phoneticPr fontId="2" type="noConversion"/>
  </si>
  <si>
    <t>시료명</t>
    <phoneticPr fontId="2" type="noConversion"/>
  </si>
  <si>
    <t>공수</t>
    <phoneticPr fontId="2" type="noConversion"/>
  </si>
  <si>
    <t>출장비</t>
    <phoneticPr fontId="2" type="noConversion"/>
  </si>
  <si>
    <t>추가</t>
    <phoneticPr fontId="2" type="noConversion"/>
  </si>
  <si>
    <t>비고</t>
    <phoneticPr fontId="2" type="noConversion"/>
  </si>
  <si>
    <t>합계</t>
    <phoneticPr fontId="2" type="noConversion"/>
  </si>
  <si>
    <t>기타</t>
    <phoneticPr fontId="2" type="noConversion"/>
  </si>
  <si>
    <t>주말근무</t>
    <phoneticPr fontId="2" type="noConversion"/>
  </si>
  <si>
    <t>특근비+출장비</t>
    <phoneticPr fontId="2" type="noConversion"/>
  </si>
  <si>
    <t>도서지역</t>
    <phoneticPr fontId="2" type="noConversion"/>
  </si>
  <si>
    <t>출장비40만*day+숙박시 실비</t>
    <phoneticPr fontId="2" type="noConversion"/>
  </si>
  <si>
    <t>구분</t>
    <phoneticPr fontId="2" type="noConversion"/>
  </si>
  <si>
    <t>현장담당</t>
    <phoneticPr fontId="2" type="noConversion"/>
  </si>
  <si>
    <t>시험종목</t>
    <phoneticPr fontId="2" type="noConversion"/>
  </si>
  <si>
    <t>기본공수</t>
    <phoneticPr fontId="2" type="noConversion"/>
  </si>
  <si>
    <t>단가</t>
    <phoneticPr fontId="2" type="noConversion"/>
  </si>
  <si>
    <t>추가</t>
    <phoneticPr fontId="2" type="noConversion"/>
  </si>
  <si>
    <t>현장시험</t>
    <phoneticPr fontId="2" type="noConversion"/>
  </si>
  <si>
    <t>위재완</t>
    <phoneticPr fontId="2" type="noConversion"/>
  </si>
  <si>
    <t>지내력</t>
    <phoneticPr fontId="2" type="noConversion"/>
  </si>
  <si>
    <t>출장비</t>
    <phoneticPr fontId="2" type="noConversion"/>
  </si>
  <si>
    <t>시료수거</t>
    <phoneticPr fontId="2" type="noConversion"/>
  </si>
  <si>
    <t>양지훈</t>
    <phoneticPr fontId="2" type="noConversion"/>
  </si>
  <si>
    <t>도로평판</t>
    <phoneticPr fontId="2" type="noConversion"/>
  </si>
  <si>
    <t>기타</t>
    <phoneticPr fontId="2" type="noConversion"/>
  </si>
  <si>
    <t>권석규</t>
    <phoneticPr fontId="2" type="noConversion"/>
  </si>
  <si>
    <t>들밀도</t>
    <phoneticPr fontId="2" type="noConversion"/>
  </si>
  <si>
    <t>출장비</t>
    <phoneticPr fontId="2" type="noConversion"/>
  </si>
  <si>
    <t>공제</t>
    <phoneticPr fontId="2" type="noConversion"/>
  </si>
  <si>
    <t>인발(케미컬 등)</t>
    <phoneticPr fontId="2" type="noConversion"/>
  </si>
  <si>
    <t>출장비</t>
    <phoneticPr fontId="2" type="noConversion"/>
  </si>
  <si>
    <t>인발(태양광)</t>
    <phoneticPr fontId="2" type="noConversion"/>
  </si>
  <si>
    <t>생콘</t>
    <phoneticPr fontId="2" type="noConversion"/>
  </si>
  <si>
    <t>어스앵커</t>
    <phoneticPr fontId="2" type="noConversion"/>
  </si>
  <si>
    <t>코아채취(아스콘)</t>
    <phoneticPr fontId="2" type="noConversion"/>
  </si>
  <si>
    <t>코아채취(콘크리트)</t>
    <phoneticPr fontId="2" type="noConversion"/>
  </si>
  <si>
    <t>슈미트 및 단순시험</t>
    <phoneticPr fontId="2" type="noConversion"/>
  </si>
  <si>
    <t>락볼트</t>
    <phoneticPr fontId="2" type="noConversion"/>
  </si>
  <si>
    <t>소일네일</t>
    <phoneticPr fontId="2" type="noConversion"/>
  </si>
  <si>
    <t>인발(부착강도)</t>
    <phoneticPr fontId="2" type="noConversion"/>
  </si>
  <si>
    <t>출장비</t>
    <phoneticPr fontId="2" type="noConversion"/>
  </si>
  <si>
    <t>생콘 및 들밀도</t>
    <phoneticPr fontId="2" type="noConversion"/>
  </si>
  <si>
    <t>생콘(기포)</t>
    <phoneticPr fontId="2" type="noConversion"/>
  </si>
  <si>
    <t>생콘(SCW)</t>
    <phoneticPr fontId="2" type="noConversion"/>
  </si>
  <si>
    <t>미끄럼저항</t>
    <phoneticPr fontId="2" type="noConversion"/>
  </si>
  <si>
    <t>출장비</t>
    <phoneticPr fontId="2" type="noConversion"/>
  </si>
  <si>
    <t>몰드수거</t>
    <phoneticPr fontId="2" type="noConversion"/>
  </si>
  <si>
    <t>시료접수</t>
    <phoneticPr fontId="2" type="noConversion"/>
  </si>
  <si>
    <t>결재</t>
    <phoneticPr fontId="2" type="noConversion"/>
  </si>
  <si>
    <t>담당</t>
    <phoneticPr fontId="2" type="noConversion"/>
  </si>
  <si>
    <t>팀장</t>
    <phoneticPr fontId="2" type="noConversion"/>
  </si>
  <si>
    <t>원장</t>
    <phoneticPr fontId="2" type="noConversion"/>
  </si>
  <si>
    <t>대표이사</t>
    <phoneticPr fontId="2" type="noConversion"/>
  </si>
  <si>
    <t>현장시험</t>
    <phoneticPr fontId="2" type="noConversion"/>
  </si>
  <si>
    <t>계</t>
    <phoneticPr fontId="2" type="noConversion"/>
  </si>
  <si>
    <t>접수번호</t>
    <phoneticPr fontId="2" type="noConversion"/>
  </si>
  <si>
    <t>현장담당</t>
    <phoneticPr fontId="2" type="noConversion"/>
  </si>
  <si>
    <t>구분</t>
    <phoneticPr fontId="2" type="noConversion"/>
  </si>
  <si>
    <t>영업담당</t>
    <phoneticPr fontId="2" type="noConversion"/>
  </si>
  <si>
    <t>순번</t>
    <phoneticPr fontId="2" type="noConversion"/>
  </si>
  <si>
    <t>공제(-)</t>
    <phoneticPr fontId="2" type="noConversion"/>
  </si>
  <si>
    <t>전체금액의 10%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</si>
</sst>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#,##0_ "/>
  </numFmts>
  <fonts count="17" x14ac:knownFonts="1">
    <font>
      <sz val="11"/>
      <color theme="1"/>
      <name val="맑은 고딕"/>
      <family val="2"/>
      <charset val="129"/>
      <scheme val="minor"/>
    </font>
    <font>
      <b/>
      <u/>
      <sz val="22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1"/>
      <color rgb="FF002060"/>
      <name val="맑은 고딕"/>
      <family val="3"/>
      <charset val="129"/>
      <scheme val="minor"/>
    </font>
    <font>
      <sz val="10"/>
      <color rgb="FF00206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9"/>
      <color rgb="FF00206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7"/>
      <color theme="1"/>
      <name val="맑은 고딕"/>
      <family val="3"/>
      <charset val="129"/>
      <scheme val="minor"/>
    </font>
    <font>
      <sz val="7"/>
      <color rgb="FF0070C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6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14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left" vertical="center" wrapText="1"/>
    </xf>
    <xf numFmtId="0" fontId="8" fillId="0" borderId="1" xfId="0" applyFont="1" applyFill="1" applyBorder="1" applyAlignment="1">
      <alignment horizontal="left" vertical="center" wrapText="1"/>
    </xf>
    <xf numFmtId="0" fontId="8" fillId="0" borderId="1" xfId="0" applyFon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right" vertical="center"/>
    </xf>
    <xf numFmtId="176" fontId="3" fillId="0" borderId="3" xfId="0" applyNumberFormat="1" applyFont="1" applyBorder="1">
      <alignment vertical="center"/>
    </xf>
    <xf numFmtId="0" fontId="7" fillId="0" borderId="1" xfId="0" applyFont="1" applyFill="1" applyBorder="1" applyAlignment="1">
      <alignment horizontal="left" vertical="center" wrapText="1" shrinkToFit="1"/>
    </xf>
    <xf numFmtId="0" fontId="8" fillId="0" borderId="1" xfId="0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vertical="center" wrapText="1"/>
    </xf>
    <xf numFmtId="0" fontId="8" fillId="0" borderId="1" xfId="0" quotePrefix="1" applyFont="1" applyFill="1" applyBorder="1" applyAlignment="1">
      <alignment horizontal="center" vertical="center"/>
    </xf>
    <xf numFmtId="0" fontId="8" fillId="0" borderId="1" xfId="0" quotePrefix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vertical="center" wrapText="1" shrinkToFit="1"/>
    </xf>
    <xf numFmtId="14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8" fillId="0" borderId="1" xfId="0" applyFont="1" applyFill="1" applyBorder="1" applyAlignment="1">
      <alignment vertical="center" wrapText="1"/>
    </xf>
    <xf numFmtId="0" fontId="7" fillId="0" borderId="1" xfId="0" quotePrefix="1" applyFont="1" applyFill="1" applyBorder="1" applyAlignment="1">
      <alignment vertical="center" wrapText="1"/>
    </xf>
    <xf numFmtId="0" fontId="8" fillId="0" borderId="1" xfId="0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right" vertical="center"/>
    </xf>
    <xf numFmtId="0" fontId="9" fillId="0" borderId="4" xfId="0" applyFont="1" applyFill="1" applyBorder="1" applyAlignment="1">
      <alignment horizontal="center" vertical="center"/>
    </xf>
    <xf numFmtId="0" fontId="9" fillId="0" borderId="5" xfId="0" applyFont="1" applyFill="1" applyBorder="1" applyAlignment="1">
      <alignment horizontal="center" vertical="center"/>
    </xf>
    <xf numFmtId="0" fontId="9" fillId="0" borderId="7" xfId="0" applyFon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10" fillId="0" borderId="10" xfId="0" applyFont="1" applyFill="1" applyBorder="1" applyAlignment="1">
      <alignment horizontal="center" vertical="center"/>
    </xf>
    <xf numFmtId="176" fontId="11" fillId="0" borderId="11" xfId="0" applyNumberFormat="1" applyFont="1" applyBorder="1">
      <alignment vertical="center"/>
    </xf>
    <xf numFmtId="176" fontId="11" fillId="0" borderId="12" xfId="0" applyNumberFormat="1" applyFont="1" applyBorder="1">
      <alignment vertical="center"/>
    </xf>
    <xf numFmtId="176" fontId="12" fillId="0" borderId="12" xfId="0" applyNumberFormat="1" applyFont="1" applyBorder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4" borderId="0" xfId="0" applyFill="1">
      <alignment vertical="center"/>
    </xf>
    <xf numFmtId="0" fontId="0" fillId="0" borderId="9" xfId="0" applyBorder="1">
      <alignment vertical="center"/>
    </xf>
    <xf numFmtId="0" fontId="0" fillId="0" borderId="9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0" xfId="0" applyFont="1" applyFill="1" applyBorder="1" applyAlignment="1">
      <alignment horizontal="center" vertical="center" wrapText="1"/>
    </xf>
    <xf numFmtId="0" fontId="7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7" fillId="0" borderId="0" xfId="0" applyFont="1" applyBorder="1" applyAlignment="1">
      <alignment horizontal="left" vertical="center" wrapText="1"/>
    </xf>
    <xf numFmtId="0" fontId="7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176" fontId="13" fillId="0" borderId="13" xfId="0" applyNumberFormat="1" applyFont="1" applyBorder="1">
      <alignment vertical="center"/>
    </xf>
    <xf numFmtId="0" fontId="7" fillId="0" borderId="1" xfId="0" quotePrefix="1" applyFont="1" applyFill="1" applyBorder="1" applyAlignment="1">
      <alignment horizontal="left" vertical="center" wrapText="1"/>
    </xf>
    <xf numFmtId="0" fontId="3" fillId="0" borderId="0" xfId="0" applyFont="1" applyFill="1">
      <alignment vertical="center"/>
    </xf>
    <xf numFmtId="176" fontId="3" fillId="0" borderId="3" xfId="0" applyNumberFormat="1" applyFont="1" applyFill="1" applyBorder="1">
      <alignment vertical="center"/>
    </xf>
    <xf numFmtId="0" fontId="14" fillId="0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4" xfId="0" applyBorder="1" applyAlignment="1">
      <alignment horizontal="center" vertical="center" textRotation="255"/>
    </xf>
    <xf numFmtId="0" fontId="0" fillId="0" borderId="15" xfId="0" applyBorder="1" applyAlignment="1">
      <alignment horizontal="center" vertical="center" textRotation="255"/>
    </xf>
    <xf numFmtId="0" fontId="15" fillId="0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0" xfId="0" applyFont="1" applyAlignment="1">
      <alignment horizontal="center" vertical="center"/>
    </xf>
    <xf numFmtId="0" fontId="16" fillId="0" borderId="9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4.emf"/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580605</xdr:colOff>
          <xdr:row>0</xdr:row>
          <xdr:rowOff>38100</xdr:rowOff>
        </xdr:from>
        <xdr:to>
          <xdr:col>10</xdr:col>
          <xdr:colOff>809624</xdr:colOff>
          <xdr:row>1</xdr:row>
          <xdr:rowOff>180975</xdr:rowOff>
        </xdr:to>
        <xdr:pic>
          <xdr:nvPicPr>
            <xdr:cNvPr id="3" name="그림 2"/>
            <xdr:cNvPicPr>
              <a:picLocks noChangeAspect="1" noChangeArrowheads="1"/>
              <a:extLst>
                <a:ext uri="{84589F7E-364E-4C9E-8A38-B11213B215E9}">
                  <a14:cameraTool cellRange="그림!$J$47:$N$48" spid="_x0000_s1064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00380" y="38100"/>
              <a:ext cx="2762669" cy="790575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0</xdr:row>
          <xdr:rowOff>47625</xdr:rowOff>
        </xdr:from>
        <xdr:to>
          <xdr:col>4</xdr:col>
          <xdr:colOff>1266825</xdr:colOff>
          <xdr:row>1</xdr:row>
          <xdr:rowOff>66675</xdr:rowOff>
        </xdr:to>
        <xdr:pic>
          <xdr:nvPicPr>
            <xdr:cNvPr id="5" name="그림 4"/>
            <xdr:cNvPicPr>
              <a:picLocks noChangeAspect="1" noChangeArrowheads="1"/>
              <a:extLst>
                <a:ext uri="{84589F7E-364E-4C9E-8A38-B11213B215E9}">
                  <a14:cameraTool cellRange="$P$4:$T$6" spid="_x0000_s1065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38100" y="47625"/>
              <a:ext cx="3810000" cy="6667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253"/>
  <sheetViews>
    <sheetView tabSelected="1" view="pageBreakPreview" zoomScaleNormal="100" zoomScaleSheetLayoutView="100" workbookViewId="0">
      <pane ySplit="6" topLeftCell="A7" activePane="bottomLeft" state="frozen"/>
      <selection pane="bottomLeft" activeCell="B5" sqref="B5"/>
    </sheetView>
  </sheetViews>
  <sheetFormatPr defaultRowHeight="13.5" x14ac:dyDescent="0.3"/>
  <cols>
    <col min="1" max="1" width="5.25" style="2" customWidth="1"/>
    <col min="2" max="2" width="11.125" style="2" customWidth="1"/>
    <col min="3" max="3" width="9" style="3" customWidth="1"/>
    <col min="4" max="4" width="8.5" style="4" customWidth="1"/>
    <col min="5" max="5" width="18" style="3" customWidth="1"/>
    <col min="6" max="6" width="19.125" style="3" customWidth="1"/>
    <col min="7" max="7" width="5.375" style="3" customWidth="1"/>
    <col min="8" max="9" width="9.25" style="3" customWidth="1"/>
    <col min="10" max="10" width="14.75" style="3" customWidth="1"/>
    <col min="11" max="11" width="10.875" style="3" customWidth="1"/>
    <col min="12" max="15" width="9" style="3" customWidth="1"/>
    <col min="16" max="19" width="9.875" style="3" customWidth="1"/>
    <col min="20" max="20" width="10.5" style="2" customWidth="1"/>
    <col min="21" max="16384" width="9" style="2"/>
  </cols>
  <sheetData>
    <row r="1" spans="1:21" ht="51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47"/>
      <c r="L1" s="1"/>
      <c r="M1" s="1"/>
      <c r="N1" s="1"/>
      <c r="O1" s="1"/>
      <c r="P1" s="1"/>
      <c r="Q1" s="1"/>
      <c r="R1" s="1"/>
      <c r="S1" s="1"/>
    </row>
    <row r="2" spans="1:21" ht="45.75" customHeight="1" x14ac:dyDescent="0.3">
      <c r="A2" s="62" t="s">
        <v>0</v>
      </c>
      <c r="B2" s="62"/>
      <c r="C2" s="62"/>
      <c r="D2" s="62"/>
      <c r="E2" s="62"/>
      <c r="F2" s="62"/>
      <c r="G2" s="62"/>
      <c r="H2" s="62"/>
      <c r="I2" s="62"/>
      <c r="J2" s="62"/>
      <c r="K2" s="47"/>
      <c r="L2" s="47"/>
      <c r="M2" s="47"/>
      <c r="N2" s="47"/>
      <c r="O2" s="47"/>
      <c r="P2" s="47"/>
      <c r="Q2" s="47"/>
      <c r="R2" s="47"/>
      <c r="S2" s="47"/>
    </row>
    <row r="3" spans="1:21" ht="12" customHeight="1" thickBot="1" x14ac:dyDescent="0.35"/>
    <row r="4" spans="1:21" ht="21" customHeight="1" x14ac:dyDescent="0.3">
      <c r="A4" s="5" t="s">
        <v>1</v>
      </c>
      <c r="B4" s="6" t="s">
        <v>2</v>
      </c>
      <c r="C4" s="5" t="s">
        <v>60</v>
      </c>
      <c r="D4" s="6" t="s">
        <v>61</v>
      </c>
      <c r="E4" s="7" t="s">
        <v>3</v>
      </c>
      <c r="F4" s="7" t="s">
        <v>4</v>
      </c>
      <c r="G4" s="7" t="s">
        <v>5</v>
      </c>
      <c r="H4" s="7" t="s">
        <v>6</v>
      </c>
      <c r="I4" s="7" t="s">
        <v>7</v>
      </c>
      <c r="J4" s="7" t="s">
        <v>8</v>
      </c>
      <c r="K4" s="7" t="s">
        <v>59</v>
      </c>
      <c r="L4" s="48" t="s">
        <v>62</v>
      </c>
      <c r="M4" s="48" t="s">
        <v>63</v>
      </c>
      <c r="N4" s="48"/>
      <c r="O4" s="48"/>
      <c r="P4" s="31" t="s">
        <v>57</v>
      </c>
      <c r="Q4" s="32" t="s">
        <v>25</v>
      </c>
      <c r="R4" s="32" t="s">
        <v>10</v>
      </c>
      <c r="S4" s="61" t="s">
        <v>64</v>
      </c>
      <c r="T4" s="33" t="s">
        <v>58</v>
      </c>
      <c r="U4" s="8" t="s">
        <v>9</v>
      </c>
    </row>
    <row r="5" spans="1:21" ht="15.95" customHeight="1" x14ac:dyDescent="0.3">
      <c r="A5" s="9">
        <v>1</v>
      </c>
      <c r="B5" s="11"/>
      <c r="C5" s="10"/>
      <c r="D5" s="11"/>
      <c r="E5" s="12"/>
      <c r="F5" s="13"/>
      <c r="G5" s="14"/>
      <c r="H5" s="15"/>
      <c r="I5" s="15"/>
      <c r="J5" s="65"/>
      <c r="K5" s="55"/>
      <c r="L5" s="49"/>
      <c r="M5" s="49"/>
      <c r="N5" s="49"/>
      <c r="O5" s="49"/>
      <c r="P5" s="34">
        <f>COUNTIF(D5:D90,P4)</f>
        <v>0</v>
      </c>
      <c r="Q5" s="35">
        <f>COUNTIF(D5:D90,Q4)</f>
        <v>0</v>
      </c>
      <c r="R5" s="35">
        <f>COUNTIF(D5:D90,R4)</f>
        <v>0</v>
      </c>
      <c r="S5" s="68" t="s">
        <v>65</v>
      </c>
      <c r="T5" s="36">
        <f>SUM(P5:R5)</f>
        <v>0</v>
      </c>
      <c r="U5" s="16">
        <f t="shared" ref="U5:U68" si="0">H5+I5</f>
        <v>0</v>
      </c>
    </row>
    <row r="6" spans="1:21" ht="15.95" customHeight="1" thickBot="1" x14ac:dyDescent="0.35">
      <c r="A6" s="9">
        <v>2</v>
      </c>
      <c r="B6" s="11"/>
      <c r="C6" s="10"/>
      <c r="D6" s="11"/>
      <c r="E6" s="17"/>
      <c r="F6" s="13"/>
      <c r="G6" s="14"/>
      <c r="H6" s="15"/>
      <c r="I6" s="15"/>
      <c r="J6" s="65"/>
      <c r="K6" s="55"/>
      <c r="L6" s="49"/>
      <c r="M6" s="49"/>
      <c r="N6" s="49"/>
      <c r="O6" s="49"/>
      <c r="P6" s="37">
        <f>SUMIFS($U$5:$U$90,$D$5:$D$90,"현장시험")</f>
        <v>0</v>
      </c>
      <c r="Q6" s="38">
        <f>SUMIFS($U$5:$U$90,$D$5:$D$90,"시료수거")</f>
        <v>0</v>
      </c>
      <c r="R6" s="38">
        <f>SUMIFS($U$5:$U$90,$D$5:$D$90,"기타")</f>
        <v>0</v>
      </c>
      <c r="S6" s="39">
        <f>SUM(P6:R6)*0.1</f>
        <v>0</v>
      </c>
      <c r="T6" s="57">
        <f>SUM(P6:R6)-S6</f>
        <v>0</v>
      </c>
      <c r="U6" s="16">
        <f t="shared" si="0"/>
        <v>0</v>
      </c>
    </row>
    <row r="7" spans="1:21" ht="15.95" customHeight="1" x14ac:dyDescent="0.3">
      <c r="A7" s="9">
        <v>3</v>
      </c>
      <c r="B7" s="11"/>
      <c r="C7" s="10"/>
      <c r="D7" s="11"/>
      <c r="E7" s="12"/>
      <c r="F7" s="13"/>
      <c r="G7" s="14"/>
      <c r="H7" s="15"/>
      <c r="I7" s="15"/>
      <c r="J7" s="65"/>
      <c r="K7" s="55"/>
      <c r="L7" s="49"/>
      <c r="M7" s="49"/>
      <c r="N7" s="49"/>
      <c r="O7" s="49"/>
      <c r="P7" s="49"/>
      <c r="Q7" s="49"/>
      <c r="R7" s="49"/>
      <c r="S7" s="49"/>
      <c r="U7" s="16">
        <f t="shared" si="0"/>
        <v>0</v>
      </c>
    </row>
    <row r="8" spans="1:21" ht="15.95" customHeight="1" x14ac:dyDescent="0.3">
      <c r="A8" s="9">
        <v>4</v>
      </c>
      <c r="B8" s="11"/>
      <c r="C8" s="10"/>
      <c r="D8" s="11"/>
      <c r="E8" s="12"/>
      <c r="F8" s="13"/>
      <c r="G8" s="14"/>
      <c r="H8" s="15"/>
      <c r="I8" s="15"/>
      <c r="J8" s="65"/>
      <c r="K8" s="55"/>
      <c r="L8" s="49"/>
      <c r="M8" s="49"/>
      <c r="N8" s="49"/>
      <c r="O8" s="49"/>
      <c r="P8" s="49"/>
      <c r="Q8" s="49"/>
      <c r="R8" s="49"/>
      <c r="S8" s="49"/>
      <c r="U8" s="16">
        <f t="shared" si="0"/>
        <v>0</v>
      </c>
    </row>
    <row r="9" spans="1:21" ht="15.95" customHeight="1" x14ac:dyDescent="0.3">
      <c r="A9" s="9">
        <v>5</v>
      </c>
      <c r="B9" s="11"/>
      <c r="C9" s="10"/>
      <c r="D9" s="11"/>
      <c r="E9" s="12"/>
      <c r="F9" s="13"/>
      <c r="G9" s="14"/>
      <c r="H9" s="15"/>
      <c r="I9" s="15"/>
      <c r="J9" s="65"/>
      <c r="K9" s="55"/>
      <c r="L9" s="49"/>
      <c r="M9" s="49"/>
      <c r="N9" s="49"/>
      <c r="O9" s="49"/>
      <c r="P9" s="49"/>
      <c r="Q9" s="49"/>
      <c r="R9" s="49"/>
      <c r="S9" s="49"/>
      <c r="U9" s="16">
        <f t="shared" si="0"/>
        <v>0</v>
      </c>
    </row>
    <row r="10" spans="1:21" ht="15.95" customHeight="1" x14ac:dyDescent="0.3">
      <c r="A10" s="9">
        <v>6</v>
      </c>
      <c r="B10" s="11"/>
      <c r="C10" s="10"/>
      <c r="D10" s="11"/>
      <c r="E10" s="12"/>
      <c r="F10" s="13"/>
      <c r="G10" s="14"/>
      <c r="H10" s="15"/>
      <c r="I10" s="15"/>
      <c r="J10" s="65"/>
      <c r="K10" s="55"/>
      <c r="L10" s="49"/>
      <c r="M10" s="49"/>
      <c r="N10" s="49"/>
      <c r="O10" s="49"/>
      <c r="P10" s="49"/>
      <c r="Q10" s="49"/>
      <c r="R10" s="49"/>
      <c r="S10" s="49"/>
      <c r="U10" s="16">
        <f t="shared" si="0"/>
        <v>0</v>
      </c>
    </row>
    <row r="11" spans="1:21" ht="15.95" customHeight="1" x14ac:dyDescent="0.3">
      <c r="A11" s="9">
        <v>7</v>
      </c>
      <c r="B11" s="11"/>
      <c r="C11" s="10"/>
      <c r="D11" s="11"/>
      <c r="E11" s="12"/>
      <c r="F11" s="13"/>
      <c r="G11" s="14"/>
      <c r="H11" s="15"/>
      <c r="I11" s="15"/>
      <c r="J11" s="65"/>
      <c r="K11" s="55"/>
      <c r="L11" s="49"/>
      <c r="M11" s="49"/>
      <c r="N11" s="49"/>
      <c r="O11" s="49"/>
      <c r="P11" s="49"/>
      <c r="Q11" s="49"/>
      <c r="R11" s="49"/>
      <c r="S11" s="49"/>
      <c r="U11" s="16">
        <f t="shared" si="0"/>
        <v>0</v>
      </c>
    </row>
    <row r="12" spans="1:21" ht="15.95" customHeight="1" x14ac:dyDescent="0.3">
      <c r="A12" s="9">
        <v>8</v>
      </c>
      <c r="B12" s="11"/>
      <c r="C12" s="10"/>
      <c r="D12" s="11"/>
      <c r="E12" s="12"/>
      <c r="F12" s="13"/>
      <c r="G12" s="14"/>
      <c r="H12" s="15"/>
      <c r="I12" s="15"/>
      <c r="J12" s="65"/>
      <c r="K12" s="55"/>
      <c r="L12" s="49"/>
      <c r="M12" s="49"/>
      <c r="N12" s="49"/>
      <c r="O12" s="49"/>
      <c r="P12" s="49"/>
      <c r="Q12" s="49"/>
      <c r="R12" s="49"/>
      <c r="S12" s="49"/>
      <c r="U12" s="16">
        <f t="shared" si="0"/>
        <v>0</v>
      </c>
    </row>
    <row r="13" spans="1:21" ht="15.75" customHeight="1" x14ac:dyDescent="0.3">
      <c r="A13" s="9">
        <v>9</v>
      </c>
      <c r="B13" s="11"/>
      <c r="C13" s="10"/>
      <c r="D13" s="11"/>
      <c r="E13" s="12"/>
      <c r="F13" s="13"/>
      <c r="G13" s="14"/>
      <c r="H13" s="15"/>
      <c r="I13" s="15"/>
      <c r="J13" s="65"/>
      <c r="K13" s="55"/>
      <c r="L13" s="49"/>
      <c r="M13" s="49"/>
      <c r="N13" s="49"/>
      <c r="O13" s="49"/>
      <c r="P13" s="49"/>
      <c r="Q13" s="49"/>
      <c r="R13" s="49"/>
      <c r="S13" s="49"/>
      <c r="U13" s="16">
        <f t="shared" si="0"/>
        <v>0</v>
      </c>
    </row>
    <row r="14" spans="1:21" ht="15.95" customHeight="1" x14ac:dyDescent="0.3">
      <c r="A14" s="9">
        <v>10</v>
      </c>
      <c r="B14" s="11"/>
      <c r="C14" s="10"/>
      <c r="D14" s="11"/>
      <c r="E14" s="12"/>
      <c r="F14" s="13"/>
      <c r="G14" s="18"/>
      <c r="H14" s="15"/>
      <c r="I14" s="15"/>
      <c r="J14" s="65"/>
      <c r="K14" s="55"/>
      <c r="L14" s="49"/>
      <c r="M14" s="49"/>
      <c r="N14" s="49"/>
      <c r="O14" s="49"/>
      <c r="P14" s="49"/>
      <c r="Q14" s="49"/>
      <c r="R14" s="49"/>
      <c r="S14" s="49"/>
      <c r="U14" s="16">
        <f t="shared" si="0"/>
        <v>0</v>
      </c>
    </row>
    <row r="15" spans="1:21" ht="15.95" customHeight="1" x14ac:dyDescent="0.3">
      <c r="A15" s="9">
        <v>11</v>
      </c>
      <c r="B15" s="11"/>
      <c r="C15" s="10"/>
      <c r="D15" s="11"/>
      <c r="E15" s="12"/>
      <c r="F15" s="13"/>
      <c r="G15" s="14"/>
      <c r="H15" s="15"/>
      <c r="I15" s="15"/>
      <c r="J15" s="65"/>
      <c r="K15" s="55"/>
      <c r="L15" s="49"/>
      <c r="M15" s="49"/>
      <c r="N15" s="49"/>
      <c r="O15" s="49"/>
      <c r="P15" s="49"/>
      <c r="Q15" s="49"/>
      <c r="R15" s="49"/>
      <c r="S15" s="49"/>
      <c r="U15" s="16">
        <f t="shared" si="0"/>
        <v>0</v>
      </c>
    </row>
    <row r="16" spans="1:21" ht="15.95" customHeight="1" x14ac:dyDescent="0.3">
      <c r="A16" s="9">
        <v>12</v>
      </c>
      <c r="B16" s="11"/>
      <c r="C16" s="10"/>
      <c r="D16" s="11"/>
      <c r="E16" s="12"/>
      <c r="F16" s="13"/>
      <c r="G16" s="14"/>
      <c r="H16" s="15"/>
      <c r="I16" s="15"/>
      <c r="J16" s="65"/>
      <c r="K16" s="55"/>
      <c r="L16" s="49"/>
      <c r="M16" s="49"/>
      <c r="N16" s="49"/>
      <c r="O16" s="49"/>
      <c r="P16" s="49"/>
      <c r="Q16" s="49"/>
      <c r="R16" s="49"/>
      <c r="S16" s="49"/>
      <c r="U16" s="16">
        <f t="shared" si="0"/>
        <v>0</v>
      </c>
    </row>
    <row r="17" spans="1:21" ht="15.95" customHeight="1" x14ac:dyDescent="0.3">
      <c r="A17" s="9">
        <v>13</v>
      </c>
      <c r="B17" s="11"/>
      <c r="C17" s="10"/>
      <c r="D17" s="11"/>
      <c r="E17" s="12"/>
      <c r="F17" s="13"/>
      <c r="G17" s="14"/>
      <c r="H17" s="15"/>
      <c r="I17" s="15"/>
      <c r="J17" s="65"/>
      <c r="K17" s="55"/>
      <c r="L17" s="49"/>
      <c r="M17" s="49"/>
      <c r="N17" s="49"/>
      <c r="O17" s="49"/>
      <c r="P17" s="49"/>
      <c r="Q17" s="49"/>
      <c r="R17" s="49"/>
      <c r="S17" s="49"/>
      <c r="U17" s="16">
        <f t="shared" si="0"/>
        <v>0</v>
      </c>
    </row>
    <row r="18" spans="1:21" ht="15.95" customHeight="1" x14ac:dyDescent="0.3">
      <c r="A18" s="9">
        <v>14</v>
      </c>
      <c r="B18" s="11"/>
      <c r="C18" s="10"/>
      <c r="D18" s="11"/>
      <c r="E18" s="12"/>
      <c r="F18" s="13"/>
      <c r="G18" s="14"/>
      <c r="H18" s="15"/>
      <c r="I18" s="15"/>
      <c r="J18" s="65"/>
      <c r="K18" s="55"/>
      <c r="L18" s="49"/>
      <c r="M18" s="49"/>
      <c r="N18" s="49"/>
      <c r="O18" s="49"/>
      <c r="P18" s="49"/>
      <c r="Q18" s="49"/>
      <c r="R18" s="49"/>
      <c r="S18" s="49"/>
      <c r="U18" s="16">
        <f t="shared" si="0"/>
        <v>0</v>
      </c>
    </row>
    <row r="19" spans="1:21" ht="15.95" customHeight="1" x14ac:dyDescent="0.3">
      <c r="A19" s="9">
        <v>15</v>
      </c>
      <c r="B19" s="11"/>
      <c r="C19" s="10"/>
      <c r="D19" s="11"/>
      <c r="E19" s="12"/>
      <c r="F19" s="13"/>
      <c r="G19" s="18"/>
      <c r="H19" s="15"/>
      <c r="I19" s="15"/>
      <c r="J19" s="65"/>
      <c r="K19" s="55"/>
      <c r="L19" s="49"/>
      <c r="M19" s="49"/>
      <c r="N19" s="49"/>
      <c r="O19" s="49"/>
      <c r="P19" s="49"/>
      <c r="Q19" s="49"/>
      <c r="R19" s="49"/>
      <c r="S19" s="49"/>
      <c r="U19" s="16">
        <f t="shared" si="0"/>
        <v>0</v>
      </c>
    </row>
    <row r="20" spans="1:21" ht="15.95" customHeight="1" x14ac:dyDescent="0.3">
      <c r="A20" s="9">
        <v>16</v>
      </c>
      <c r="B20" s="11"/>
      <c r="C20" s="10"/>
      <c r="D20" s="11"/>
      <c r="E20" s="12"/>
      <c r="F20" s="13"/>
      <c r="G20" s="14"/>
      <c r="H20" s="15"/>
      <c r="I20" s="15"/>
      <c r="J20" s="65"/>
      <c r="K20" s="55"/>
      <c r="L20" s="49"/>
      <c r="M20" s="49"/>
      <c r="N20" s="49"/>
      <c r="O20" s="49"/>
      <c r="P20" s="49"/>
      <c r="Q20" s="49"/>
      <c r="R20" s="49"/>
      <c r="S20" s="49"/>
      <c r="U20" s="16">
        <f t="shared" si="0"/>
        <v>0</v>
      </c>
    </row>
    <row r="21" spans="1:21" ht="15.95" customHeight="1" x14ac:dyDescent="0.3">
      <c r="A21" s="9">
        <v>17</v>
      </c>
      <c r="B21" s="11"/>
      <c r="C21" s="10"/>
      <c r="D21" s="11"/>
      <c r="E21" s="12"/>
      <c r="F21" s="13"/>
      <c r="G21" s="14"/>
      <c r="H21" s="15"/>
      <c r="I21" s="15"/>
      <c r="J21" s="65"/>
      <c r="K21" s="55"/>
      <c r="L21" s="49"/>
      <c r="M21" s="49"/>
      <c r="N21" s="49"/>
      <c r="O21" s="49"/>
      <c r="P21" s="49"/>
      <c r="Q21" s="49"/>
      <c r="R21" s="49"/>
      <c r="S21" s="49"/>
      <c r="U21" s="16">
        <f t="shared" si="0"/>
        <v>0</v>
      </c>
    </row>
    <row r="22" spans="1:21" ht="15.95" customHeight="1" x14ac:dyDescent="0.3">
      <c r="A22" s="9">
        <v>18</v>
      </c>
      <c r="B22" s="11"/>
      <c r="C22" s="10"/>
      <c r="D22" s="11"/>
      <c r="E22" s="12"/>
      <c r="F22" s="13"/>
      <c r="G22" s="18"/>
      <c r="H22" s="15"/>
      <c r="I22" s="15"/>
      <c r="J22" s="65"/>
      <c r="K22" s="55"/>
      <c r="L22" s="49"/>
      <c r="M22" s="49"/>
      <c r="N22" s="49"/>
      <c r="O22" s="49"/>
      <c r="P22" s="49"/>
      <c r="Q22" s="49"/>
      <c r="R22" s="49"/>
      <c r="S22" s="49"/>
      <c r="U22" s="16">
        <f t="shared" si="0"/>
        <v>0</v>
      </c>
    </row>
    <row r="23" spans="1:21" ht="15.95" customHeight="1" x14ac:dyDescent="0.3">
      <c r="A23" s="9">
        <v>19</v>
      </c>
      <c r="B23" s="11"/>
      <c r="C23" s="10"/>
      <c r="D23" s="11"/>
      <c r="E23" s="12"/>
      <c r="F23" s="13"/>
      <c r="G23" s="14"/>
      <c r="H23" s="15"/>
      <c r="I23" s="15"/>
      <c r="J23" s="65"/>
      <c r="K23" s="55"/>
      <c r="L23" s="49"/>
      <c r="M23" s="49"/>
      <c r="N23" s="49"/>
      <c r="O23" s="49"/>
      <c r="P23" s="49"/>
      <c r="Q23" s="49"/>
      <c r="R23" s="49"/>
      <c r="S23" s="49"/>
      <c r="U23" s="16">
        <f t="shared" si="0"/>
        <v>0</v>
      </c>
    </row>
    <row r="24" spans="1:21" ht="15.95" customHeight="1" x14ac:dyDescent="0.3">
      <c r="A24" s="9">
        <v>20</v>
      </c>
      <c r="B24" s="11"/>
      <c r="C24" s="10"/>
      <c r="D24" s="11"/>
      <c r="E24" s="12"/>
      <c r="F24" s="13"/>
      <c r="G24" s="14"/>
      <c r="H24" s="15"/>
      <c r="I24" s="15"/>
      <c r="J24" s="65"/>
      <c r="K24" s="55"/>
      <c r="L24" s="49"/>
      <c r="M24" s="49"/>
      <c r="N24" s="49"/>
      <c r="O24" s="49"/>
      <c r="P24" s="49"/>
      <c r="Q24" s="49"/>
      <c r="R24" s="49"/>
      <c r="S24" s="49"/>
      <c r="U24" s="16">
        <f t="shared" si="0"/>
        <v>0</v>
      </c>
    </row>
    <row r="25" spans="1:21" ht="15.95" customHeight="1" x14ac:dyDescent="0.3">
      <c r="A25" s="9">
        <v>21</v>
      </c>
      <c r="B25" s="11"/>
      <c r="C25" s="10"/>
      <c r="D25" s="11"/>
      <c r="E25" s="12"/>
      <c r="F25" s="13"/>
      <c r="G25" s="18"/>
      <c r="H25" s="15"/>
      <c r="I25" s="15"/>
      <c r="J25" s="65"/>
      <c r="K25" s="55"/>
      <c r="L25" s="49"/>
      <c r="M25" s="49"/>
      <c r="N25" s="49"/>
      <c r="O25" s="49"/>
      <c r="P25" s="49"/>
      <c r="Q25" s="49"/>
      <c r="R25" s="49"/>
      <c r="S25" s="49"/>
      <c r="U25" s="16">
        <f t="shared" si="0"/>
        <v>0</v>
      </c>
    </row>
    <row r="26" spans="1:21" ht="15.95" customHeight="1" x14ac:dyDescent="0.3">
      <c r="A26" s="9">
        <v>22</v>
      </c>
      <c r="B26" s="11"/>
      <c r="C26" s="10"/>
      <c r="D26" s="11"/>
      <c r="E26" s="12"/>
      <c r="F26" s="13"/>
      <c r="G26" s="18"/>
      <c r="H26" s="15"/>
      <c r="I26" s="15"/>
      <c r="J26" s="65"/>
      <c r="K26" s="55"/>
      <c r="L26" s="49"/>
      <c r="M26" s="49"/>
      <c r="N26" s="49"/>
      <c r="O26" s="49"/>
      <c r="P26" s="49"/>
      <c r="Q26" s="49"/>
      <c r="R26" s="49"/>
      <c r="S26" s="49"/>
      <c r="U26" s="16">
        <f t="shared" si="0"/>
        <v>0</v>
      </c>
    </row>
    <row r="27" spans="1:21" ht="15.95" customHeight="1" x14ac:dyDescent="0.3">
      <c r="A27" s="9">
        <v>23</v>
      </c>
      <c r="B27" s="11"/>
      <c r="C27" s="10"/>
      <c r="D27" s="11"/>
      <c r="E27" s="12"/>
      <c r="F27" s="13"/>
      <c r="G27" s="18"/>
      <c r="H27" s="15"/>
      <c r="I27" s="15"/>
      <c r="J27" s="65"/>
      <c r="K27" s="55"/>
      <c r="L27" s="49"/>
      <c r="M27" s="49"/>
      <c r="N27" s="49"/>
      <c r="O27" s="49"/>
      <c r="P27" s="49"/>
      <c r="Q27" s="49"/>
      <c r="R27" s="49"/>
      <c r="S27" s="49"/>
      <c r="U27" s="16">
        <f t="shared" si="0"/>
        <v>0</v>
      </c>
    </row>
    <row r="28" spans="1:21" ht="15.95" customHeight="1" x14ac:dyDescent="0.3">
      <c r="A28" s="9">
        <v>24</v>
      </c>
      <c r="B28" s="11"/>
      <c r="C28" s="10"/>
      <c r="D28" s="11"/>
      <c r="E28" s="12"/>
      <c r="F28" s="13"/>
      <c r="G28" s="18"/>
      <c r="H28" s="15"/>
      <c r="I28" s="15"/>
      <c r="J28" s="65"/>
      <c r="K28" s="55"/>
      <c r="L28" s="49"/>
      <c r="M28" s="49"/>
      <c r="N28" s="49"/>
      <c r="O28" s="49"/>
      <c r="P28" s="49"/>
      <c r="Q28" s="49"/>
      <c r="R28" s="49"/>
      <c r="S28" s="49"/>
      <c r="U28" s="16">
        <f t="shared" si="0"/>
        <v>0</v>
      </c>
    </row>
    <row r="29" spans="1:21" ht="15.95" customHeight="1" x14ac:dyDescent="0.3">
      <c r="A29" s="9">
        <v>25</v>
      </c>
      <c r="B29" s="11"/>
      <c r="C29" s="10"/>
      <c r="D29" s="11"/>
      <c r="E29" s="17"/>
      <c r="F29" s="13"/>
      <c r="G29" s="18"/>
      <c r="H29" s="15"/>
      <c r="I29" s="15"/>
      <c r="J29" s="65"/>
      <c r="K29" s="55"/>
      <c r="L29" s="49"/>
      <c r="M29" s="49"/>
      <c r="N29" s="49"/>
      <c r="O29" s="49"/>
      <c r="P29" s="49"/>
      <c r="Q29" s="49"/>
      <c r="R29" s="49"/>
      <c r="S29" s="49"/>
      <c r="U29" s="16">
        <f t="shared" si="0"/>
        <v>0</v>
      </c>
    </row>
    <row r="30" spans="1:21" ht="15.95" customHeight="1" x14ac:dyDescent="0.3">
      <c r="A30" s="9">
        <v>26</v>
      </c>
      <c r="B30" s="11"/>
      <c r="C30" s="10"/>
      <c r="D30" s="11"/>
      <c r="E30" s="12"/>
      <c r="F30" s="13"/>
      <c r="G30" s="18"/>
      <c r="H30" s="15"/>
      <c r="I30" s="15"/>
      <c r="J30" s="65"/>
      <c r="K30" s="55"/>
      <c r="L30" s="49"/>
      <c r="M30" s="49"/>
      <c r="N30" s="49"/>
      <c r="O30" s="49"/>
      <c r="P30" s="49"/>
      <c r="Q30" s="49"/>
      <c r="R30" s="49"/>
      <c r="S30" s="49"/>
      <c r="U30" s="16">
        <f t="shared" si="0"/>
        <v>0</v>
      </c>
    </row>
    <row r="31" spans="1:21" ht="15.95" customHeight="1" x14ac:dyDescent="0.3">
      <c r="A31" s="9">
        <v>27</v>
      </c>
      <c r="B31" s="11"/>
      <c r="C31" s="10"/>
      <c r="D31" s="11"/>
      <c r="E31" s="12"/>
      <c r="F31" s="13"/>
      <c r="G31" s="18"/>
      <c r="H31" s="15"/>
      <c r="I31" s="15"/>
      <c r="J31" s="65"/>
      <c r="K31" s="55"/>
      <c r="L31" s="49"/>
      <c r="M31" s="49"/>
      <c r="N31" s="49"/>
      <c r="O31" s="49"/>
      <c r="P31" s="49"/>
      <c r="Q31" s="49"/>
      <c r="R31" s="49"/>
      <c r="S31" s="49"/>
      <c r="U31" s="16">
        <f t="shared" si="0"/>
        <v>0</v>
      </c>
    </row>
    <row r="32" spans="1:21" ht="15.95" customHeight="1" x14ac:dyDescent="0.3">
      <c r="A32" s="9">
        <v>28</v>
      </c>
      <c r="B32" s="11"/>
      <c r="C32" s="10"/>
      <c r="D32" s="11"/>
      <c r="E32" s="12"/>
      <c r="F32" s="13"/>
      <c r="G32" s="18"/>
      <c r="H32" s="15"/>
      <c r="I32" s="15"/>
      <c r="J32" s="65"/>
      <c r="K32" s="55"/>
      <c r="L32" s="49"/>
      <c r="M32" s="49"/>
      <c r="N32" s="49"/>
      <c r="O32" s="49"/>
      <c r="P32" s="49"/>
      <c r="Q32" s="49"/>
      <c r="R32" s="49"/>
      <c r="S32" s="49"/>
      <c r="U32" s="16">
        <f t="shared" si="0"/>
        <v>0</v>
      </c>
    </row>
    <row r="33" spans="1:21" ht="15.95" customHeight="1" x14ac:dyDescent="0.3">
      <c r="A33" s="9">
        <v>29</v>
      </c>
      <c r="B33" s="11"/>
      <c r="C33" s="10"/>
      <c r="D33" s="11"/>
      <c r="E33" s="12"/>
      <c r="F33" s="13"/>
      <c r="G33" s="18"/>
      <c r="H33" s="15"/>
      <c r="I33" s="15"/>
      <c r="J33" s="65"/>
      <c r="K33" s="55"/>
      <c r="L33" s="49"/>
      <c r="M33" s="49"/>
      <c r="N33" s="49"/>
      <c r="O33" s="49"/>
      <c r="P33" s="49"/>
      <c r="Q33" s="49"/>
      <c r="R33" s="49"/>
      <c r="S33" s="49"/>
      <c r="U33" s="16">
        <f t="shared" si="0"/>
        <v>0</v>
      </c>
    </row>
    <row r="34" spans="1:21" ht="15.95" customHeight="1" x14ac:dyDescent="0.3">
      <c r="A34" s="9">
        <v>30</v>
      </c>
      <c r="B34" s="11"/>
      <c r="C34" s="10"/>
      <c r="D34" s="11"/>
      <c r="E34" s="12"/>
      <c r="F34" s="13"/>
      <c r="G34" s="18"/>
      <c r="H34" s="15"/>
      <c r="I34" s="15"/>
      <c r="J34" s="65"/>
      <c r="K34" s="55"/>
      <c r="L34" s="49"/>
      <c r="M34" s="49"/>
      <c r="N34" s="49"/>
      <c r="O34" s="49"/>
      <c r="P34" s="49"/>
      <c r="Q34" s="49"/>
      <c r="R34" s="49"/>
      <c r="S34" s="49"/>
      <c r="U34" s="16">
        <f t="shared" si="0"/>
        <v>0</v>
      </c>
    </row>
    <row r="35" spans="1:21" ht="15.95" customHeight="1" x14ac:dyDescent="0.3">
      <c r="A35" s="9">
        <v>31</v>
      </c>
      <c r="B35" s="11"/>
      <c r="C35" s="10"/>
      <c r="D35" s="11"/>
      <c r="E35" s="12"/>
      <c r="F35" s="13"/>
      <c r="G35" s="18"/>
      <c r="H35" s="15"/>
      <c r="I35" s="15"/>
      <c r="J35" s="65"/>
      <c r="K35" s="55"/>
      <c r="L35" s="49"/>
      <c r="M35" s="49"/>
      <c r="N35" s="49"/>
      <c r="O35" s="49"/>
      <c r="P35" s="49"/>
      <c r="Q35" s="49"/>
      <c r="R35" s="49"/>
      <c r="S35" s="49"/>
      <c r="U35" s="16">
        <f t="shared" si="0"/>
        <v>0</v>
      </c>
    </row>
    <row r="36" spans="1:21" ht="15.95" customHeight="1" x14ac:dyDescent="0.3">
      <c r="A36" s="9">
        <v>32</v>
      </c>
      <c r="B36" s="11"/>
      <c r="C36" s="10"/>
      <c r="D36" s="11"/>
      <c r="E36" s="12"/>
      <c r="F36" s="13"/>
      <c r="G36" s="18"/>
      <c r="H36" s="15"/>
      <c r="I36" s="15"/>
      <c r="J36" s="65"/>
      <c r="K36" s="55"/>
      <c r="L36" s="49"/>
      <c r="M36" s="49"/>
      <c r="N36" s="49"/>
      <c r="O36" s="49"/>
      <c r="P36" s="49"/>
      <c r="Q36" s="49"/>
      <c r="R36" s="49"/>
      <c r="S36" s="49"/>
      <c r="U36" s="16">
        <f t="shared" si="0"/>
        <v>0</v>
      </c>
    </row>
    <row r="37" spans="1:21" ht="15.75" customHeight="1" x14ac:dyDescent="0.3">
      <c r="A37" s="9">
        <v>33</v>
      </c>
      <c r="B37" s="11"/>
      <c r="C37" s="10"/>
      <c r="D37" s="11"/>
      <c r="E37" s="19"/>
      <c r="F37" s="13"/>
      <c r="G37" s="18"/>
      <c r="H37" s="15"/>
      <c r="I37" s="15"/>
      <c r="J37" s="65"/>
      <c r="K37" s="55"/>
      <c r="L37" s="49"/>
      <c r="M37" s="49"/>
      <c r="N37" s="49"/>
      <c r="O37" s="49"/>
      <c r="P37" s="49"/>
      <c r="Q37" s="49"/>
      <c r="R37" s="49"/>
      <c r="S37" s="49"/>
      <c r="U37" s="16">
        <f t="shared" si="0"/>
        <v>0</v>
      </c>
    </row>
    <row r="38" spans="1:21" ht="15.95" customHeight="1" x14ac:dyDescent="0.3">
      <c r="A38" s="9">
        <v>34</v>
      </c>
      <c r="B38" s="11"/>
      <c r="C38" s="10"/>
      <c r="D38" s="11"/>
      <c r="E38" s="12"/>
      <c r="F38" s="13"/>
      <c r="G38" s="20"/>
      <c r="H38" s="15"/>
      <c r="I38" s="15"/>
      <c r="J38" s="65"/>
      <c r="K38" s="55"/>
      <c r="L38" s="49"/>
      <c r="M38" s="49"/>
      <c r="N38" s="49"/>
      <c r="O38" s="49"/>
      <c r="P38" s="49"/>
      <c r="Q38" s="49"/>
      <c r="R38" s="49"/>
      <c r="S38" s="49"/>
      <c r="U38" s="16">
        <f t="shared" si="0"/>
        <v>0</v>
      </c>
    </row>
    <row r="39" spans="1:21" ht="15.95" customHeight="1" x14ac:dyDescent="0.3">
      <c r="A39" s="9">
        <v>35</v>
      </c>
      <c r="B39" s="11"/>
      <c r="C39" s="10"/>
      <c r="D39" s="11"/>
      <c r="E39" s="12"/>
      <c r="F39" s="13"/>
      <c r="G39" s="20"/>
      <c r="H39" s="15"/>
      <c r="I39" s="15"/>
      <c r="J39" s="65"/>
      <c r="K39" s="55"/>
      <c r="L39" s="49"/>
      <c r="M39" s="49"/>
      <c r="N39" s="49"/>
      <c r="O39" s="49"/>
      <c r="P39" s="49"/>
      <c r="Q39" s="49"/>
      <c r="R39" s="49"/>
      <c r="S39" s="49"/>
      <c r="U39" s="16">
        <f t="shared" si="0"/>
        <v>0</v>
      </c>
    </row>
    <row r="40" spans="1:21" ht="15.95" customHeight="1" x14ac:dyDescent="0.3">
      <c r="A40" s="9">
        <v>36</v>
      </c>
      <c r="B40" s="11"/>
      <c r="C40" s="10"/>
      <c r="D40" s="11"/>
      <c r="E40" s="12"/>
      <c r="F40" s="13"/>
      <c r="G40" s="14"/>
      <c r="H40" s="15"/>
      <c r="I40" s="15"/>
      <c r="J40" s="65"/>
      <c r="K40" s="55"/>
      <c r="L40" s="49"/>
      <c r="M40" s="49"/>
      <c r="N40" s="49"/>
      <c r="O40" s="49"/>
      <c r="P40" s="49"/>
      <c r="Q40" s="49"/>
      <c r="R40" s="49"/>
      <c r="S40" s="49"/>
      <c r="U40" s="16">
        <f t="shared" si="0"/>
        <v>0</v>
      </c>
    </row>
    <row r="41" spans="1:21" ht="15.95" customHeight="1" x14ac:dyDescent="0.3">
      <c r="A41" s="9">
        <v>37</v>
      </c>
      <c r="B41" s="11"/>
      <c r="C41" s="10"/>
      <c r="D41" s="11"/>
      <c r="E41" s="12"/>
      <c r="F41" s="13"/>
      <c r="G41" s="21"/>
      <c r="H41" s="15"/>
      <c r="I41" s="15"/>
      <c r="J41" s="65"/>
      <c r="K41" s="55"/>
      <c r="L41" s="49"/>
      <c r="M41" s="49"/>
      <c r="N41" s="49"/>
      <c r="O41" s="49"/>
      <c r="P41" s="49"/>
      <c r="Q41" s="49"/>
      <c r="R41" s="49"/>
      <c r="S41" s="49"/>
      <c r="U41" s="16">
        <f t="shared" si="0"/>
        <v>0</v>
      </c>
    </row>
    <row r="42" spans="1:21" ht="15.95" customHeight="1" x14ac:dyDescent="0.3">
      <c r="A42" s="9">
        <v>38</v>
      </c>
      <c r="B42" s="11"/>
      <c r="C42" s="10"/>
      <c r="D42" s="11"/>
      <c r="E42" s="19"/>
      <c r="F42" s="13"/>
      <c r="G42" s="18"/>
      <c r="H42" s="15"/>
      <c r="I42" s="15"/>
      <c r="J42" s="65"/>
      <c r="K42" s="55"/>
      <c r="L42" s="49"/>
      <c r="M42" s="49"/>
      <c r="N42" s="49"/>
      <c r="O42" s="49"/>
      <c r="P42" s="49"/>
      <c r="Q42" s="49"/>
      <c r="R42" s="49"/>
      <c r="S42" s="49"/>
      <c r="U42" s="16">
        <f t="shared" si="0"/>
        <v>0</v>
      </c>
    </row>
    <row r="43" spans="1:21" ht="15.95" customHeight="1" x14ac:dyDescent="0.3">
      <c r="A43" s="9">
        <v>39</v>
      </c>
      <c r="B43" s="11"/>
      <c r="C43" s="10"/>
      <c r="D43" s="11"/>
      <c r="E43" s="19"/>
      <c r="F43" s="13"/>
      <c r="G43" s="18"/>
      <c r="H43" s="15"/>
      <c r="I43" s="15"/>
      <c r="J43" s="65"/>
      <c r="K43" s="55"/>
      <c r="L43" s="49"/>
      <c r="M43" s="49"/>
      <c r="N43" s="49"/>
      <c r="O43" s="49"/>
      <c r="P43" s="49"/>
      <c r="Q43" s="49"/>
      <c r="R43" s="49"/>
      <c r="S43" s="49"/>
      <c r="U43" s="16">
        <f t="shared" si="0"/>
        <v>0</v>
      </c>
    </row>
    <row r="44" spans="1:21" ht="15.95" customHeight="1" x14ac:dyDescent="0.3">
      <c r="A44" s="9">
        <v>40</v>
      </c>
      <c r="B44" s="11"/>
      <c r="C44" s="10"/>
      <c r="D44" s="11"/>
      <c r="E44" s="22"/>
      <c r="F44" s="13"/>
      <c r="G44" s="18"/>
      <c r="H44" s="15"/>
      <c r="I44" s="15"/>
      <c r="J44" s="65"/>
      <c r="K44" s="55"/>
      <c r="L44" s="49"/>
      <c r="M44" s="49"/>
      <c r="N44" s="49"/>
      <c r="O44" s="49"/>
      <c r="P44" s="49"/>
      <c r="Q44" s="49"/>
      <c r="R44" s="49"/>
      <c r="S44" s="49"/>
      <c r="U44" s="16">
        <f t="shared" si="0"/>
        <v>0</v>
      </c>
    </row>
    <row r="45" spans="1:21" ht="15.95" customHeight="1" x14ac:dyDescent="0.3">
      <c r="A45" s="9">
        <v>41</v>
      </c>
      <c r="B45" s="11"/>
      <c r="C45" s="10"/>
      <c r="D45" s="11"/>
      <c r="E45" s="22"/>
      <c r="F45" s="13"/>
      <c r="G45" s="18"/>
      <c r="H45" s="15"/>
      <c r="I45" s="15"/>
      <c r="J45" s="65"/>
      <c r="K45" s="55"/>
      <c r="L45" s="49"/>
      <c r="M45" s="49"/>
      <c r="N45" s="49"/>
      <c r="O45" s="49"/>
      <c r="P45" s="49"/>
      <c r="Q45" s="49"/>
      <c r="R45" s="49"/>
      <c r="S45" s="49"/>
      <c r="U45" s="16">
        <f t="shared" si="0"/>
        <v>0</v>
      </c>
    </row>
    <row r="46" spans="1:21" ht="15.95" customHeight="1" x14ac:dyDescent="0.3">
      <c r="A46" s="9">
        <v>42</v>
      </c>
      <c r="B46" s="11"/>
      <c r="C46" s="10"/>
      <c r="D46" s="11"/>
      <c r="E46" s="19"/>
      <c r="F46" s="13"/>
      <c r="G46" s="18"/>
      <c r="H46" s="15"/>
      <c r="I46" s="15"/>
      <c r="J46" s="65"/>
      <c r="K46" s="55"/>
      <c r="L46" s="49"/>
      <c r="M46" s="49"/>
      <c r="N46" s="49"/>
      <c r="O46" s="49"/>
      <c r="P46" s="49"/>
      <c r="Q46" s="49"/>
      <c r="R46" s="49"/>
      <c r="S46" s="49"/>
      <c r="U46" s="16">
        <f t="shared" si="0"/>
        <v>0</v>
      </c>
    </row>
    <row r="47" spans="1:21" ht="15.95" customHeight="1" x14ac:dyDescent="0.3">
      <c r="A47" s="9">
        <v>43</v>
      </c>
      <c r="B47" s="11"/>
      <c r="C47" s="10"/>
      <c r="D47" s="23"/>
      <c r="E47" s="24"/>
      <c r="F47" s="25"/>
      <c r="G47" s="14"/>
      <c r="H47" s="15"/>
      <c r="I47" s="15"/>
      <c r="J47" s="65"/>
      <c r="K47" s="56"/>
      <c r="L47" s="50"/>
      <c r="M47" s="50"/>
      <c r="N47" s="50"/>
      <c r="O47" s="50"/>
      <c r="P47" s="50"/>
      <c r="Q47" s="50"/>
      <c r="R47" s="50"/>
      <c r="S47" s="50"/>
      <c r="U47" s="16">
        <f t="shared" si="0"/>
        <v>0</v>
      </c>
    </row>
    <row r="48" spans="1:21" ht="15.95" customHeight="1" x14ac:dyDescent="0.3">
      <c r="A48" s="9">
        <v>44</v>
      </c>
      <c r="B48" s="11"/>
      <c r="C48" s="10"/>
      <c r="D48" s="23"/>
      <c r="E48" s="24"/>
      <c r="F48" s="25"/>
      <c r="G48" s="14"/>
      <c r="H48" s="15"/>
      <c r="I48" s="15"/>
      <c r="J48" s="65"/>
      <c r="K48" s="56"/>
      <c r="L48" s="50"/>
      <c r="M48" s="50"/>
      <c r="N48" s="50"/>
      <c r="O48" s="50"/>
      <c r="P48" s="50"/>
      <c r="Q48" s="50"/>
      <c r="R48" s="50"/>
      <c r="S48" s="50"/>
      <c r="U48" s="16">
        <f t="shared" si="0"/>
        <v>0</v>
      </c>
    </row>
    <row r="49" spans="1:21" ht="15.95" customHeight="1" x14ac:dyDescent="0.3">
      <c r="A49" s="9">
        <v>45</v>
      </c>
      <c r="B49" s="11"/>
      <c r="C49" s="10"/>
      <c r="D49" s="11"/>
      <c r="E49" s="19"/>
      <c r="F49" s="25"/>
      <c r="G49" s="14"/>
      <c r="H49" s="15"/>
      <c r="I49" s="15"/>
      <c r="J49" s="65"/>
      <c r="K49" s="56"/>
      <c r="L49" s="50"/>
      <c r="M49" s="50"/>
      <c r="N49" s="50"/>
      <c r="O49" s="50"/>
      <c r="P49" s="50"/>
      <c r="Q49" s="50"/>
      <c r="R49" s="50"/>
      <c r="S49" s="50"/>
      <c r="U49" s="16">
        <f t="shared" si="0"/>
        <v>0</v>
      </c>
    </row>
    <row r="50" spans="1:21" ht="15.95" customHeight="1" x14ac:dyDescent="0.3">
      <c r="A50" s="9">
        <v>46</v>
      </c>
      <c r="B50" s="11"/>
      <c r="C50" s="10"/>
      <c r="D50" s="11"/>
      <c r="E50" s="19"/>
      <c r="F50" s="13"/>
      <c r="G50" s="18"/>
      <c r="H50" s="15"/>
      <c r="I50" s="15"/>
      <c r="J50" s="65"/>
      <c r="K50" s="55"/>
      <c r="L50" s="49"/>
      <c r="M50" s="49"/>
      <c r="N50" s="49"/>
      <c r="O50" s="49"/>
      <c r="P50" s="49"/>
      <c r="Q50" s="49"/>
      <c r="R50" s="49"/>
      <c r="S50" s="49"/>
      <c r="U50" s="16">
        <f t="shared" si="0"/>
        <v>0</v>
      </c>
    </row>
    <row r="51" spans="1:21" ht="15.95" customHeight="1" x14ac:dyDescent="0.3">
      <c r="A51" s="9">
        <v>47</v>
      </c>
      <c r="B51" s="11"/>
      <c r="C51" s="10"/>
      <c r="D51" s="11"/>
      <c r="E51" s="19"/>
      <c r="F51" s="13"/>
      <c r="G51" s="18"/>
      <c r="H51" s="15"/>
      <c r="I51" s="15"/>
      <c r="J51" s="65"/>
      <c r="K51" s="55"/>
      <c r="L51" s="49"/>
      <c r="M51" s="49"/>
      <c r="N51" s="49"/>
      <c r="O51" s="49"/>
      <c r="P51" s="49"/>
      <c r="Q51" s="49"/>
      <c r="R51" s="49"/>
      <c r="S51" s="49"/>
      <c r="U51" s="16">
        <f t="shared" si="0"/>
        <v>0</v>
      </c>
    </row>
    <row r="52" spans="1:21" ht="15.95" customHeight="1" x14ac:dyDescent="0.3">
      <c r="A52" s="9">
        <v>48</v>
      </c>
      <c r="B52" s="11"/>
      <c r="C52" s="10"/>
      <c r="D52" s="11"/>
      <c r="E52" s="22"/>
      <c r="F52" s="13"/>
      <c r="G52" s="18"/>
      <c r="H52" s="15"/>
      <c r="I52" s="15"/>
      <c r="J52" s="65"/>
      <c r="K52" s="55"/>
      <c r="L52" s="49"/>
      <c r="M52" s="49"/>
      <c r="N52" s="49"/>
      <c r="O52" s="49"/>
      <c r="P52" s="49"/>
      <c r="Q52" s="49"/>
      <c r="R52" s="49"/>
      <c r="S52" s="49"/>
      <c r="U52" s="16">
        <f t="shared" si="0"/>
        <v>0</v>
      </c>
    </row>
    <row r="53" spans="1:21" ht="15.95" customHeight="1" x14ac:dyDescent="0.3">
      <c r="A53" s="9">
        <v>49</v>
      </c>
      <c r="B53" s="11"/>
      <c r="C53" s="10"/>
      <c r="D53" s="11"/>
      <c r="E53" s="19"/>
      <c r="F53" s="13"/>
      <c r="G53" s="18"/>
      <c r="H53" s="15"/>
      <c r="I53" s="15"/>
      <c r="J53" s="65"/>
      <c r="K53" s="55"/>
      <c r="L53" s="49"/>
      <c r="M53" s="49"/>
      <c r="N53" s="49"/>
      <c r="O53" s="49"/>
      <c r="P53" s="49"/>
      <c r="Q53" s="49"/>
      <c r="R53" s="49"/>
      <c r="S53" s="49"/>
      <c r="U53" s="16">
        <f t="shared" si="0"/>
        <v>0</v>
      </c>
    </row>
    <row r="54" spans="1:21" ht="15.95" customHeight="1" x14ac:dyDescent="0.3">
      <c r="A54" s="9">
        <v>50</v>
      </c>
      <c r="B54" s="11"/>
      <c r="C54" s="10"/>
      <c r="D54" s="11"/>
      <c r="E54" s="12"/>
      <c r="F54" s="13"/>
      <c r="G54" s="18"/>
      <c r="H54" s="15"/>
      <c r="I54" s="15"/>
      <c r="J54" s="65"/>
      <c r="K54" s="55"/>
      <c r="L54" s="49"/>
      <c r="M54" s="49"/>
      <c r="N54" s="49"/>
      <c r="O54" s="49"/>
      <c r="P54" s="49"/>
      <c r="Q54" s="49"/>
      <c r="R54" s="49"/>
      <c r="S54" s="49"/>
      <c r="U54" s="16">
        <f t="shared" si="0"/>
        <v>0</v>
      </c>
    </row>
    <row r="55" spans="1:21" ht="15.95" customHeight="1" x14ac:dyDescent="0.3">
      <c r="A55" s="9">
        <v>51</v>
      </c>
      <c r="B55" s="11"/>
      <c r="C55" s="10"/>
      <c r="D55" s="11"/>
      <c r="E55" s="12"/>
      <c r="F55" s="13"/>
      <c r="G55" s="18"/>
      <c r="H55" s="15"/>
      <c r="I55" s="15"/>
      <c r="J55" s="65"/>
      <c r="K55" s="55"/>
      <c r="L55" s="49"/>
      <c r="M55" s="49"/>
      <c r="N55" s="49"/>
      <c r="O55" s="49"/>
      <c r="P55" s="49"/>
      <c r="Q55" s="49"/>
      <c r="R55" s="49"/>
      <c r="S55" s="49"/>
      <c r="U55" s="16">
        <f t="shared" si="0"/>
        <v>0</v>
      </c>
    </row>
    <row r="56" spans="1:21" ht="15.95" customHeight="1" x14ac:dyDescent="0.3">
      <c r="A56" s="9">
        <v>52</v>
      </c>
      <c r="B56" s="11"/>
      <c r="C56" s="10"/>
      <c r="D56" s="11"/>
      <c r="E56" s="12"/>
      <c r="F56" s="13"/>
      <c r="G56" s="14"/>
      <c r="H56" s="15"/>
      <c r="I56" s="15"/>
      <c r="J56" s="65"/>
      <c r="K56" s="56"/>
      <c r="L56" s="50"/>
      <c r="M56" s="50"/>
      <c r="N56" s="50"/>
      <c r="O56" s="50"/>
      <c r="P56" s="50"/>
      <c r="Q56" s="50"/>
      <c r="R56" s="50"/>
      <c r="S56" s="50"/>
      <c r="U56" s="16">
        <f t="shared" si="0"/>
        <v>0</v>
      </c>
    </row>
    <row r="57" spans="1:21" ht="15.95" customHeight="1" x14ac:dyDescent="0.3">
      <c r="A57" s="9">
        <v>53</v>
      </c>
      <c r="B57" s="11"/>
      <c r="C57" s="10"/>
      <c r="D57" s="11"/>
      <c r="E57" s="12"/>
      <c r="F57" s="13"/>
      <c r="G57" s="14"/>
      <c r="H57" s="15"/>
      <c r="I57" s="15"/>
      <c r="J57" s="65"/>
      <c r="K57" s="56"/>
      <c r="L57" s="50"/>
      <c r="M57" s="50"/>
      <c r="N57" s="50"/>
      <c r="O57" s="50"/>
      <c r="P57" s="50"/>
      <c r="Q57" s="50"/>
      <c r="R57" s="50"/>
      <c r="S57" s="50"/>
      <c r="U57" s="16">
        <f t="shared" si="0"/>
        <v>0</v>
      </c>
    </row>
    <row r="58" spans="1:21" ht="15.95" customHeight="1" x14ac:dyDescent="0.3">
      <c r="A58" s="9">
        <v>54</v>
      </c>
      <c r="B58" s="11"/>
      <c r="C58" s="10"/>
      <c r="D58" s="11"/>
      <c r="E58" s="19"/>
      <c r="F58" s="25"/>
      <c r="G58" s="18"/>
      <c r="H58" s="15"/>
      <c r="I58" s="15"/>
      <c r="J58" s="65"/>
      <c r="K58" s="55"/>
      <c r="L58" s="49"/>
      <c r="M58" s="49"/>
      <c r="N58" s="49"/>
      <c r="O58" s="49"/>
      <c r="P58" s="49"/>
      <c r="Q58" s="49"/>
      <c r="R58" s="49"/>
      <c r="S58" s="49"/>
      <c r="U58" s="16">
        <f t="shared" si="0"/>
        <v>0</v>
      </c>
    </row>
    <row r="59" spans="1:21" ht="15.95" customHeight="1" x14ac:dyDescent="0.3">
      <c r="A59" s="9">
        <v>55</v>
      </c>
      <c r="B59" s="11"/>
      <c r="C59" s="10"/>
      <c r="D59" s="11"/>
      <c r="E59" s="19"/>
      <c r="F59" s="25"/>
      <c r="G59" s="18"/>
      <c r="H59" s="15"/>
      <c r="I59" s="15"/>
      <c r="J59" s="65"/>
      <c r="K59" s="55"/>
      <c r="L59" s="49"/>
      <c r="M59" s="49"/>
      <c r="N59" s="49"/>
      <c r="O59" s="49"/>
      <c r="P59" s="49"/>
      <c r="Q59" s="49"/>
      <c r="R59" s="49"/>
      <c r="S59" s="49"/>
      <c r="U59" s="16">
        <f t="shared" si="0"/>
        <v>0</v>
      </c>
    </row>
    <row r="60" spans="1:21" ht="15.95" customHeight="1" x14ac:dyDescent="0.3">
      <c r="A60" s="9">
        <v>56</v>
      </c>
      <c r="B60" s="11"/>
      <c r="C60" s="10"/>
      <c r="D60" s="11"/>
      <c r="E60" s="26"/>
      <c r="F60" s="25"/>
      <c r="G60" s="14"/>
      <c r="H60" s="15"/>
      <c r="I60" s="15"/>
      <c r="J60" s="65"/>
      <c r="K60" s="55"/>
      <c r="L60" s="49"/>
      <c r="M60" s="49"/>
      <c r="N60" s="49"/>
      <c r="O60" s="49"/>
      <c r="P60" s="49"/>
      <c r="Q60" s="49"/>
      <c r="R60" s="49"/>
      <c r="S60" s="49"/>
      <c r="U60" s="16">
        <f t="shared" si="0"/>
        <v>0</v>
      </c>
    </row>
    <row r="61" spans="1:21" s="59" customFormat="1" ht="15.95" customHeight="1" x14ac:dyDescent="0.3">
      <c r="A61" s="10">
        <v>57</v>
      </c>
      <c r="B61" s="11"/>
      <c r="C61" s="10"/>
      <c r="D61" s="11"/>
      <c r="E61" s="26"/>
      <c r="F61" s="25"/>
      <c r="G61" s="14"/>
      <c r="H61" s="15"/>
      <c r="I61" s="15"/>
      <c r="J61" s="65"/>
      <c r="K61" s="55"/>
      <c r="L61" s="49"/>
      <c r="M61" s="49"/>
      <c r="N61" s="49"/>
      <c r="O61" s="49"/>
      <c r="P61" s="49"/>
      <c r="Q61" s="49"/>
      <c r="R61" s="49"/>
      <c r="S61" s="49"/>
      <c r="U61" s="60">
        <f t="shared" si="0"/>
        <v>0</v>
      </c>
    </row>
    <row r="62" spans="1:21" s="59" customFormat="1" ht="15.95" customHeight="1" x14ac:dyDescent="0.3">
      <c r="A62" s="10">
        <v>58</v>
      </c>
      <c r="B62" s="11"/>
      <c r="C62" s="10"/>
      <c r="D62" s="11"/>
      <c r="E62" s="19"/>
      <c r="F62" s="13"/>
      <c r="G62" s="18"/>
      <c r="H62" s="15"/>
      <c r="I62" s="15"/>
      <c r="J62" s="65"/>
      <c r="K62" s="55"/>
      <c r="L62" s="49"/>
      <c r="M62" s="49"/>
      <c r="N62" s="49"/>
      <c r="O62" s="49"/>
      <c r="P62" s="49"/>
      <c r="Q62" s="49"/>
      <c r="R62" s="49"/>
      <c r="S62" s="49"/>
      <c r="U62" s="60">
        <f t="shared" si="0"/>
        <v>0</v>
      </c>
    </row>
    <row r="63" spans="1:21" s="59" customFormat="1" ht="15.95" customHeight="1" x14ac:dyDescent="0.3">
      <c r="A63" s="10">
        <v>59</v>
      </c>
      <c r="B63" s="11"/>
      <c r="C63" s="10"/>
      <c r="D63" s="11"/>
      <c r="E63" s="19"/>
      <c r="F63" s="25"/>
      <c r="G63" s="14"/>
      <c r="H63" s="15"/>
      <c r="I63" s="15"/>
      <c r="J63" s="65"/>
      <c r="K63" s="55"/>
      <c r="L63" s="49"/>
      <c r="M63" s="49"/>
      <c r="N63" s="49"/>
      <c r="O63" s="49"/>
      <c r="P63" s="49"/>
      <c r="Q63" s="49"/>
      <c r="R63" s="49"/>
      <c r="S63" s="49"/>
      <c r="U63" s="60">
        <f t="shared" si="0"/>
        <v>0</v>
      </c>
    </row>
    <row r="64" spans="1:21" s="59" customFormat="1" ht="15.95" customHeight="1" x14ac:dyDescent="0.3">
      <c r="A64" s="10">
        <v>60</v>
      </c>
      <c r="B64" s="11"/>
      <c r="C64" s="10"/>
      <c r="D64" s="11"/>
      <c r="E64" s="19"/>
      <c r="F64" s="25"/>
      <c r="G64" s="14"/>
      <c r="H64" s="15"/>
      <c r="I64" s="15"/>
      <c r="J64" s="65"/>
      <c r="K64" s="55"/>
      <c r="L64" s="49"/>
      <c r="M64" s="49"/>
      <c r="N64" s="49"/>
      <c r="O64" s="49"/>
      <c r="P64" s="49"/>
      <c r="Q64" s="49"/>
      <c r="R64" s="49"/>
      <c r="S64" s="49"/>
      <c r="U64" s="60">
        <f t="shared" si="0"/>
        <v>0</v>
      </c>
    </row>
    <row r="65" spans="1:21" s="59" customFormat="1" ht="15.95" customHeight="1" x14ac:dyDescent="0.3">
      <c r="A65" s="10">
        <v>61</v>
      </c>
      <c r="B65" s="11"/>
      <c r="C65" s="10"/>
      <c r="D65" s="11"/>
      <c r="E65" s="12"/>
      <c r="F65" s="13"/>
      <c r="G65" s="18"/>
      <c r="H65" s="15"/>
      <c r="I65" s="15"/>
      <c r="J65" s="65"/>
      <c r="K65" s="55"/>
      <c r="L65" s="49"/>
      <c r="M65" s="49"/>
      <c r="N65" s="49"/>
      <c r="O65" s="49"/>
      <c r="P65" s="49"/>
      <c r="Q65" s="49"/>
      <c r="R65" s="49"/>
      <c r="S65" s="49"/>
      <c r="U65" s="60">
        <f t="shared" si="0"/>
        <v>0</v>
      </c>
    </row>
    <row r="66" spans="1:21" s="59" customFormat="1" ht="15.95" customHeight="1" x14ac:dyDescent="0.3">
      <c r="A66" s="10">
        <v>62</v>
      </c>
      <c r="B66" s="11"/>
      <c r="C66" s="10"/>
      <c r="D66" s="11"/>
      <c r="E66" s="12"/>
      <c r="F66" s="13"/>
      <c r="G66" s="18"/>
      <c r="H66" s="15"/>
      <c r="I66" s="15"/>
      <c r="J66" s="65"/>
      <c r="K66" s="55"/>
      <c r="L66" s="49"/>
      <c r="M66" s="49"/>
      <c r="N66" s="49"/>
      <c r="O66" s="49"/>
      <c r="P66" s="49"/>
      <c r="Q66" s="49"/>
      <c r="R66" s="49"/>
      <c r="S66" s="49"/>
      <c r="U66" s="60">
        <f t="shared" si="0"/>
        <v>0</v>
      </c>
    </row>
    <row r="67" spans="1:21" s="59" customFormat="1" ht="15.95" customHeight="1" x14ac:dyDescent="0.3">
      <c r="A67" s="10">
        <v>63</v>
      </c>
      <c r="B67" s="11"/>
      <c r="C67" s="10"/>
      <c r="D67" s="11"/>
      <c r="E67" s="12"/>
      <c r="F67" s="13"/>
      <c r="G67" s="18"/>
      <c r="H67" s="15"/>
      <c r="I67" s="15"/>
      <c r="J67" s="65"/>
      <c r="K67" s="55"/>
      <c r="L67" s="49"/>
      <c r="M67" s="49"/>
      <c r="N67" s="49"/>
      <c r="O67" s="49"/>
      <c r="P67" s="49"/>
      <c r="Q67" s="49"/>
      <c r="R67" s="49"/>
      <c r="S67" s="49"/>
      <c r="U67" s="60">
        <f t="shared" si="0"/>
        <v>0</v>
      </c>
    </row>
    <row r="68" spans="1:21" s="59" customFormat="1" ht="15.95" customHeight="1" x14ac:dyDescent="0.3">
      <c r="A68" s="10">
        <v>64</v>
      </c>
      <c r="B68" s="10"/>
      <c r="C68" s="10"/>
      <c r="D68" s="11"/>
      <c r="E68" s="58"/>
      <c r="F68" s="13"/>
      <c r="G68" s="18"/>
      <c r="H68" s="15"/>
      <c r="I68" s="15"/>
      <c r="J68" s="65"/>
      <c r="K68" s="55"/>
      <c r="L68" s="49"/>
      <c r="M68" s="49"/>
      <c r="N68" s="49"/>
      <c r="O68" s="49"/>
      <c r="P68" s="49"/>
      <c r="Q68" s="49"/>
      <c r="R68" s="49"/>
      <c r="S68" s="49"/>
      <c r="U68" s="60">
        <f t="shared" si="0"/>
        <v>0</v>
      </c>
    </row>
    <row r="69" spans="1:21" ht="15.75" customHeight="1" x14ac:dyDescent="0.3">
      <c r="A69" s="9">
        <v>65</v>
      </c>
      <c r="B69" s="10"/>
      <c r="C69" s="10"/>
      <c r="D69" s="11"/>
      <c r="E69" s="19"/>
      <c r="F69" s="13"/>
      <c r="G69" s="18"/>
      <c r="H69" s="15"/>
      <c r="I69" s="15"/>
      <c r="J69" s="65"/>
      <c r="K69" s="55"/>
      <c r="L69" s="49"/>
      <c r="M69" s="49"/>
      <c r="N69" s="49"/>
      <c r="O69" s="49"/>
      <c r="P69" s="49"/>
      <c r="Q69" s="49"/>
      <c r="R69" s="49"/>
      <c r="S69" s="49"/>
      <c r="U69" s="16">
        <f t="shared" ref="U69:U90" si="1">H69+I69</f>
        <v>0</v>
      </c>
    </row>
    <row r="70" spans="1:21" ht="15.95" customHeight="1" x14ac:dyDescent="0.3">
      <c r="A70" s="9">
        <v>66</v>
      </c>
      <c r="B70" s="10"/>
      <c r="C70" s="10"/>
      <c r="D70" s="11"/>
      <c r="E70" s="12"/>
      <c r="F70" s="13"/>
      <c r="G70" s="20"/>
      <c r="H70" s="15"/>
      <c r="I70" s="15"/>
      <c r="J70" s="65"/>
      <c r="K70" s="55"/>
      <c r="L70" s="49"/>
      <c r="M70" s="49"/>
      <c r="N70" s="49"/>
      <c r="O70" s="49"/>
      <c r="P70" s="49"/>
      <c r="Q70" s="49"/>
      <c r="R70" s="49"/>
      <c r="S70" s="49"/>
      <c r="U70" s="16">
        <f t="shared" si="1"/>
        <v>0</v>
      </c>
    </row>
    <row r="71" spans="1:21" ht="15.95" customHeight="1" x14ac:dyDescent="0.3">
      <c r="A71" s="9">
        <v>67</v>
      </c>
      <c r="B71" s="10"/>
      <c r="C71" s="10"/>
      <c r="D71" s="11"/>
      <c r="E71" s="12"/>
      <c r="F71" s="13"/>
      <c r="G71" s="20"/>
      <c r="H71" s="15"/>
      <c r="I71" s="15"/>
      <c r="J71" s="65"/>
      <c r="K71" s="55"/>
      <c r="L71" s="49"/>
      <c r="M71" s="49"/>
      <c r="N71" s="49"/>
      <c r="O71" s="49"/>
      <c r="P71" s="49"/>
      <c r="Q71" s="49"/>
      <c r="R71" s="49"/>
      <c r="S71" s="49"/>
      <c r="U71" s="16">
        <f t="shared" si="1"/>
        <v>0</v>
      </c>
    </row>
    <row r="72" spans="1:21" ht="15.95" customHeight="1" x14ac:dyDescent="0.3">
      <c r="A72" s="9">
        <v>68</v>
      </c>
      <c r="B72" s="10"/>
      <c r="C72" s="10"/>
      <c r="D72" s="11"/>
      <c r="E72" s="12"/>
      <c r="F72" s="13"/>
      <c r="G72" s="21"/>
      <c r="H72" s="15"/>
      <c r="I72" s="15"/>
      <c r="J72" s="65"/>
      <c r="K72" s="55"/>
      <c r="L72" s="49"/>
      <c r="M72" s="49"/>
      <c r="N72" s="49"/>
      <c r="O72" s="49"/>
      <c r="P72" s="49"/>
      <c r="Q72" s="49"/>
      <c r="R72" s="49"/>
      <c r="S72" s="49"/>
      <c r="U72" s="16">
        <f t="shared" si="1"/>
        <v>0</v>
      </c>
    </row>
    <row r="73" spans="1:21" ht="15.95" customHeight="1" x14ac:dyDescent="0.3">
      <c r="A73" s="9">
        <v>69</v>
      </c>
      <c r="B73" s="10"/>
      <c r="C73" s="10"/>
      <c r="D73" s="11"/>
      <c r="E73" s="19"/>
      <c r="F73" s="13"/>
      <c r="G73" s="18"/>
      <c r="H73" s="15"/>
      <c r="I73" s="15"/>
      <c r="J73" s="65"/>
      <c r="K73" s="55"/>
      <c r="L73" s="49"/>
      <c r="M73" s="49"/>
      <c r="N73" s="49"/>
      <c r="O73" s="49"/>
      <c r="P73" s="49"/>
      <c r="Q73" s="49"/>
      <c r="R73" s="49"/>
      <c r="S73" s="49"/>
      <c r="U73" s="16">
        <f t="shared" si="1"/>
        <v>0</v>
      </c>
    </row>
    <row r="74" spans="1:21" ht="15.95" customHeight="1" x14ac:dyDescent="0.3">
      <c r="A74" s="9">
        <v>70</v>
      </c>
      <c r="B74" s="10"/>
      <c r="C74" s="10"/>
      <c r="D74" s="11"/>
      <c r="E74" s="19"/>
      <c r="F74" s="13"/>
      <c r="G74" s="18"/>
      <c r="H74" s="15"/>
      <c r="I74" s="15"/>
      <c r="J74" s="65"/>
      <c r="K74" s="55"/>
      <c r="L74" s="49"/>
      <c r="M74" s="49"/>
      <c r="N74" s="49"/>
      <c r="O74" s="49"/>
      <c r="P74" s="49"/>
      <c r="Q74" s="49"/>
      <c r="R74" s="49"/>
      <c r="S74" s="49"/>
      <c r="U74" s="16">
        <f t="shared" si="1"/>
        <v>0</v>
      </c>
    </row>
    <row r="75" spans="1:21" ht="15.95" customHeight="1" x14ac:dyDescent="0.3">
      <c r="A75" s="9">
        <v>71</v>
      </c>
      <c r="B75" s="10"/>
      <c r="C75" s="10"/>
      <c r="D75" s="11"/>
      <c r="E75" s="22"/>
      <c r="F75" s="13"/>
      <c r="G75" s="18"/>
      <c r="H75" s="15"/>
      <c r="I75" s="15"/>
      <c r="J75" s="65"/>
      <c r="K75" s="55"/>
      <c r="L75" s="49"/>
      <c r="M75" s="49"/>
      <c r="N75" s="49"/>
      <c r="O75" s="49"/>
      <c r="P75" s="49"/>
      <c r="Q75" s="49"/>
      <c r="R75" s="49"/>
      <c r="S75" s="49"/>
      <c r="U75" s="16">
        <f t="shared" si="1"/>
        <v>0</v>
      </c>
    </row>
    <row r="76" spans="1:21" ht="15.95" customHeight="1" x14ac:dyDescent="0.3">
      <c r="A76" s="9">
        <v>72</v>
      </c>
      <c r="B76" s="10"/>
      <c r="C76" s="10"/>
      <c r="D76" s="11"/>
      <c r="E76" s="22"/>
      <c r="F76" s="13"/>
      <c r="G76" s="18"/>
      <c r="H76" s="15"/>
      <c r="I76" s="15"/>
      <c r="J76" s="65"/>
      <c r="K76" s="55"/>
      <c r="L76" s="49"/>
      <c r="M76" s="49"/>
      <c r="N76" s="49"/>
      <c r="O76" s="49"/>
      <c r="P76" s="49"/>
      <c r="Q76" s="49"/>
      <c r="R76" s="49"/>
      <c r="S76" s="49"/>
      <c r="U76" s="16">
        <f t="shared" si="1"/>
        <v>0</v>
      </c>
    </row>
    <row r="77" spans="1:21" ht="15.95" customHeight="1" x14ac:dyDescent="0.3">
      <c r="A77" s="9">
        <v>73</v>
      </c>
      <c r="B77" s="10"/>
      <c r="C77" s="10"/>
      <c r="D77" s="11"/>
      <c r="E77" s="19"/>
      <c r="F77" s="13"/>
      <c r="G77" s="18"/>
      <c r="H77" s="15"/>
      <c r="I77" s="15"/>
      <c r="J77" s="65"/>
      <c r="K77" s="55"/>
      <c r="L77" s="49"/>
      <c r="M77" s="49"/>
      <c r="N77" s="49"/>
      <c r="O77" s="49"/>
      <c r="P77" s="49"/>
      <c r="Q77" s="49"/>
      <c r="R77" s="49"/>
      <c r="S77" s="49"/>
      <c r="U77" s="16">
        <f t="shared" si="1"/>
        <v>0</v>
      </c>
    </row>
    <row r="78" spans="1:21" ht="15.95" customHeight="1" x14ac:dyDescent="0.3">
      <c r="A78" s="9">
        <v>74</v>
      </c>
      <c r="B78" s="10"/>
      <c r="C78" s="10"/>
      <c r="D78" s="23"/>
      <c r="E78" s="24"/>
      <c r="F78" s="25"/>
      <c r="G78" s="14"/>
      <c r="H78" s="15"/>
      <c r="I78" s="15"/>
      <c r="J78" s="65"/>
      <c r="K78" s="56"/>
      <c r="L78" s="50"/>
      <c r="M78" s="50"/>
      <c r="N78" s="50"/>
      <c r="O78" s="50"/>
      <c r="P78" s="50"/>
      <c r="Q78" s="50"/>
      <c r="R78" s="50"/>
      <c r="S78" s="50"/>
      <c r="U78" s="16">
        <f t="shared" si="1"/>
        <v>0</v>
      </c>
    </row>
    <row r="79" spans="1:21" ht="15.95" customHeight="1" x14ac:dyDescent="0.3">
      <c r="A79" s="9">
        <v>75</v>
      </c>
      <c r="B79" s="10"/>
      <c r="C79" s="10"/>
      <c r="D79" s="23"/>
      <c r="E79" s="24"/>
      <c r="F79" s="25"/>
      <c r="G79" s="14"/>
      <c r="H79" s="15"/>
      <c r="I79" s="15"/>
      <c r="J79" s="65"/>
      <c r="K79" s="56"/>
      <c r="L79" s="50"/>
      <c r="M79" s="50"/>
      <c r="N79" s="50"/>
      <c r="O79" s="50"/>
      <c r="P79" s="50"/>
      <c r="Q79" s="50"/>
      <c r="R79" s="50"/>
      <c r="S79" s="50"/>
      <c r="U79" s="16">
        <f t="shared" si="1"/>
        <v>0</v>
      </c>
    </row>
    <row r="80" spans="1:21" ht="15.95" customHeight="1" x14ac:dyDescent="0.3">
      <c r="A80" s="9">
        <v>76</v>
      </c>
      <c r="B80" s="10"/>
      <c r="C80" s="10"/>
      <c r="D80" s="11"/>
      <c r="E80" s="19"/>
      <c r="F80" s="25"/>
      <c r="G80" s="14"/>
      <c r="H80" s="15"/>
      <c r="I80" s="15"/>
      <c r="J80" s="65"/>
      <c r="K80" s="56"/>
      <c r="L80" s="50"/>
      <c r="M80" s="50"/>
      <c r="N80" s="50"/>
      <c r="O80" s="50"/>
      <c r="P80" s="50"/>
      <c r="Q80" s="50"/>
      <c r="R80" s="50"/>
      <c r="S80" s="50"/>
      <c r="U80" s="16">
        <f t="shared" si="1"/>
        <v>0</v>
      </c>
    </row>
    <row r="81" spans="1:21" ht="15.95" customHeight="1" x14ac:dyDescent="0.3">
      <c r="A81" s="9">
        <v>77</v>
      </c>
      <c r="B81" s="10"/>
      <c r="C81" s="10"/>
      <c r="D81" s="11"/>
      <c r="E81" s="19"/>
      <c r="F81" s="13"/>
      <c r="G81" s="18"/>
      <c r="H81" s="15"/>
      <c r="I81" s="15"/>
      <c r="J81" s="65"/>
      <c r="K81" s="55"/>
      <c r="L81" s="49"/>
      <c r="M81" s="49"/>
      <c r="N81" s="49"/>
      <c r="O81" s="49"/>
      <c r="P81" s="49"/>
      <c r="Q81" s="49"/>
      <c r="R81" s="49"/>
      <c r="S81" s="49"/>
      <c r="U81" s="16">
        <f t="shared" si="1"/>
        <v>0</v>
      </c>
    </row>
    <row r="82" spans="1:21" ht="15.95" customHeight="1" x14ac:dyDescent="0.3">
      <c r="A82" s="9">
        <v>78</v>
      </c>
      <c r="B82" s="10"/>
      <c r="C82" s="10"/>
      <c r="D82" s="11"/>
      <c r="E82" s="19"/>
      <c r="F82" s="13"/>
      <c r="G82" s="18"/>
      <c r="H82" s="15"/>
      <c r="I82" s="15"/>
      <c r="J82" s="65"/>
      <c r="K82" s="55"/>
      <c r="L82" s="49"/>
      <c r="M82" s="49"/>
      <c r="N82" s="49"/>
      <c r="O82" s="49"/>
      <c r="P82" s="49"/>
      <c r="Q82" s="49"/>
      <c r="R82" s="49"/>
      <c r="S82" s="49"/>
      <c r="U82" s="16">
        <f t="shared" si="1"/>
        <v>0</v>
      </c>
    </row>
    <row r="83" spans="1:21" ht="15.95" customHeight="1" x14ac:dyDescent="0.3">
      <c r="A83" s="9">
        <v>79</v>
      </c>
      <c r="B83" s="10"/>
      <c r="C83" s="10"/>
      <c r="D83" s="11"/>
      <c r="E83" s="22"/>
      <c r="F83" s="13"/>
      <c r="G83" s="18"/>
      <c r="H83" s="15"/>
      <c r="I83" s="15"/>
      <c r="J83" s="65"/>
      <c r="K83" s="55"/>
      <c r="L83" s="49"/>
      <c r="M83" s="49"/>
      <c r="N83" s="49"/>
      <c r="O83" s="49"/>
      <c r="P83" s="49"/>
      <c r="Q83" s="49"/>
      <c r="R83" s="49"/>
      <c r="S83" s="49"/>
      <c r="U83" s="16">
        <f t="shared" si="1"/>
        <v>0</v>
      </c>
    </row>
    <row r="84" spans="1:21" ht="15.95" customHeight="1" x14ac:dyDescent="0.3">
      <c r="A84" s="9">
        <v>80</v>
      </c>
      <c r="B84" s="10"/>
      <c r="C84" s="10"/>
      <c r="D84" s="11"/>
      <c r="E84" s="19"/>
      <c r="F84" s="13"/>
      <c r="G84" s="18"/>
      <c r="H84" s="15"/>
      <c r="I84" s="15"/>
      <c r="J84" s="65"/>
      <c r="K84" s="55"/>
      <c r="L84" s="49"/>
      <c r="M84" s="49"/>
      <c r="N84" s="49"/>
      <c r="O84" s="49"/>
      <c r="P84" s="49"/>
      <c r="Q84" s="49"/>
      <c r="R84" s="49"/>
      <c r="S84" s="49"/>
      <c r="U84" s="16">
        <f t="shared" si="1"/>
        <v>0</v>
      </c>
    </row>
    <row r="85" spans="1:21" ht="15.95" customHeight="1" x14ac:dyDescent="0.3">
      <c r="A85" s="9">
        <v>81</v>
      </c>
      <c r="B85" s="10"/>
      <c r="C85" s="10"/>
      <c r="D85" s="11"/>
      <c r="E85" s="12"/>
      <c r="F85" s="13"/>
      <c r="G85" s="18"/>
      <c r="H85" s="15"/>
      <c r="I85" s="15"/>
      <c r="J85" s="65"/>
      <c r="K85" s="55"/>
      <c r="L85" s="49"/>
      <c r="M85" s="49"/>
      <c r="N85" s="49"/>
      <c r="O85" s="49"/>
      <c r="P85" s="49"/>
      <c r="Q85" s="49"/>
      <c r="R85" s="49"/>
      <c r="S85" s="49"/>
      <c r="U85" s="16">
        <f t="shared" si="1"/>
        <v>0</v>
      </c>
    </row>
    <row r="86" spans="1:21" ht="15.95" customHeight="1" x14ac:dyDescent="0.3">
      <c r="A86" s="9">
        <v>82</v>
      </c>
      <c r="B86" s="10"/>
      <c r="C86" s="10"/>
      <c r="D86" s="11"/>
      <c r="E86" s="12"/>
      <c r="F86" s="13"/>
      <c r="G86" s="18"/>
      <c r="H86" s="15"/>
      <c r="I86" s="15"/>
      <c r="J86" s="65"/>
      <c r="K86" s="55"/>
      <c r="L86" s="49"/>
      <c r="M86" s="49"/>
      <c r="N86" s="49"/>
      <c r="O86" s="49"/>
      <c r="P86" s="49"/>
      <c r="Q86" s="49"/>
      <c r="R86" s="49"/>
      <c r="S86" s="49"/>
      <c r="U86" s="16">
        <f t="shared" si="1"/>
        <v>0</v>
      </c>
    </row>
    <row r="87" spans="1:21" ht="15.95" customHeight="1" x14ac:dyDescent="0.3">
      <c r="A87" s="9">
        <v>83</v>
      </c>
      <c r="B87" s="10"/>
      <c r="C87" s="10"/>
      <c r="D87" s="11"/>
      <c r="E87" s="12"/>
      <c r="F87" s="13"/>
      <c r="G87" s="14"/>
      <c r="H87" s="15"/>
      <c r="I87" s="15"/>
      <c r="J87" s="65"/>
      <c r="K87" s="56"/>
      <c r="L87" s="50"/>
      <c r="M87" s="50"/>
      <c r="N87" s="50"/>
      <c r="O87" s="50"/>
      <c r="P87" s="50"/>
      <c r="Q87" s="50"/>
      <c r="R87" s="50"/>
      <c r="S87" s="50"/>
      <c r="U87" s="16">
        <f t="shared" si="1"/>
        <v>0</v>
      </c>
    </row>
    <row r="88" spans="1:21" ht="15.95" customHeight="1" x14ac:dyDescent="0.3">
      <c r="A88" s="9">
        <v>84</v>
      </c>
      <c r="B88" s="10"/>
      <c r="C88" s="10"/>
      <c r="D88" s="11"/>
      <c r="E88" s="12"/>
      <c r="F88" s="13"/>
      <c r="G88" s="14"/>
      <c r="H88" s="15"/>
      <c r="I88" s="15"/>
      <c r="J88" s="65"/>
      <c r="K88" s="56"/>
      <c r="L88" s="50"/>
      <c r="M88" s="50"/>
      <c r="N88" s="50"/>
      <c r="O88" s="50"/>
      <c r="P88" s="50"/>
      <c r="Q88" s="50"/>
      <c r="R88" s="50"/>
      <c r="S88" s="50"/>
      <c r="U88" s="16">
        <f t="shared" si="1"/>
        <v>0</v>
      </c>
    </row>
    <row r="89" spans="1:21" ht="15.95" customHeight="1" x14ac:dyDescent="0.3">
      <c r="A89" s="9">
        <v>85</v>
      </c>
      <c r="B89" s="10"/>
      <c r="C89" s="10"/>
      <c r="D89" s="11"/>
      <c r="E89" s="19"/>
      <c r="F89" s="25"/>
      <c r="G89" s="18"/>
      <c r="H89" s="15"/>
      <c r="I89" s="15"/>
      <c r="J89" s="65"/>
      <c r="K89" s="55"/>
      <c r="L89" s="49"/>
      <c r="M89" s="49"/>
      <c r="N89" s="49"/>
      <c r="O89" s="49"/>
      <c r="P89" s="49"/>
      <c r="Q89" s="49"/>
      <c r="R89" s="49"/>
      <c r="S89" s="49"/>
      <c r="U89" s="16">
        <f t="shared" si="1"/>
        <v>0</v>
      </c>
    </row>
    <row r="90" spans="1:21" ht="15.95" customHeight="1" x14ac:dyDescent="0.3">
      <c r="A90" s="9">
        <v>86</v>
      </c>
      <c r="B90" s="10"/>
      <c r="C90" s="10"/>
      <c r="D90" s="11"/>
      <c r="E90" s="19"/>
      <c r="F90" s="25"/>
      <c r="G90" s="18"/>
      <c r="H90" s="15"/>
      <c r="I90" s="15"/>
      <c r="J90" s="65"/>
      <c r="K90" s="55"/>
      <c r="L90" s="49"/>
      <c r="M90" s="49"/>
      <c r="N90" s="49"/>
      <c r="O90" s="49"/>
      <c r="P90" s="49"/>
      <c r="Q90" s="49"/>
      <c r="R90" s="49"/>
      <c r="S90" s="49"/>
      <c r="U90" s="16">
        <f t="shared" si="1"/>
        <v>0</v>
      </c>
    </row>
    <row r="91" spans="1:21" ht="15.95" customHeight="1" x14ac:dyDescent="0.3">
      <c r="A91" s="9"/>
      <c r="B91" s="10"/>
      <c r="C91" s="10"/>
      <c r="D91" s="11"/>
      <c r="E91" s="28"/>
      <c r="F91" s="27"/>
      <c r="G91" s="14"/>
      <c r="H91" s="15"/>
      <c r="I91" s="15"/>
      <c r="J91" s="65"/>
      <c r="K91" s="53"/>
      <c r="L91" s="50"/>
      <c r="M91" s="50"/>
      <c r="N91" s="50"/>
      <c r="O91" s="50"/>
      <c r="P91" s="50"/>
      <c r="Q91" s="50"/>
      <c r="R91" s="50"/>
      <c r="S91" s="50"/>
      <c r="U91" s="16">
        <f t="shared" ref="U91:U119" si="2">H91+I91</f>
        <v>0</v>
      </c>
    </row>
    <row r="92" spans="1:21" ht="15.95" customHeight="1" x14ac:dyDescent="0.3">
      <c r="A92" s="10"/>
      <c r="B92" s="10"/>
      <c r="C92" s="10"/>
      <c r="D92" s="11"/>
      <c r="E92" s="28"/>
      <c r="F92" s="13"/>
      <c r="G92" s="14"/>
      <c r="H92" s="15"/>
      <c r="I92" s="15"/>
      <c r="J92" s="65"/>
      <c r="K92" s="52"/>
      <c r="L92" s="49"/>
      <c r="M92" s="49"/>
      <c r="N92" s="49"/>
      <c r="O92" s="49"/>
      <c r="P92" s="49"/>
      <c r="Q92" s="49"/>
      <c r="R92" s="49"/>
      <c r="S92" s="49"/>
      <c r="U92" s="16">
        <f t="shared" si="2"/>
        <v>0</v>
      </c>
    </row>
    <row r="93" spans="1:21" ht="15.95" customHeight="1" x14ac:dyDescent="0.3">
      <c r="A93" s="10"/>
      <c r="B93" s="10"/>
      <c r="C93" s="10"/>
      <c r="D93" s="11"/>
      <c r="E93" s="28"/>
      <c r="F93" s="13"/>
      <c r="G93" s="14"/>
      <c r="H93" s="15"/>
      <c r="I93" s="15"/>
      <c r="J93" s="65"/>
      <c r="K93" s="52"/>
      <c r="L93" s="49"/>
      <c r="M93" s="49"/>
      <c r="N93" s="49"/>
      <c r="O93" s="49"/>
      <c r="P93" s="49"/>
      <c r="Q93" s="49"/>
      <c r="R93" s="49"/>
      <c r="S93" s="49"/>
      <c r="U93" s="16">
        <f t="shared" si="2"/>
        <v>0</v>
      </c>
    </row>
    <row r="94" spans="1:21" ht="15.95" customHeight="1" x14ac:dyDescent="0.3">
      <c r="A94" s="9"/>
      <c r="B94" s="10"/>
      <c r="C94" s="10"/>
      <c r="D94" s="11"/>
      <c r="E94" s="28"/>
      <c r="F94" s="13"/>
      <c r="G94" s="14"/>
      <c r="H94" s="15"/>
      <c r="I94" s="15"/>
      <c r="J94" s="65"/>
      <c r="K94" s="52"/>
      <c r="L94" s="49"/>
      <c r="M94" s="49"/>
      <c r="N94" s="49"/>
      <c r="O94" s="49"/>
      <c r="P94" s="49"/>
      <c r="Q94" s="49"/>
      <c r="R94" s="49"/>
      <c r="S94" s="49"/>
      <c r="U94" s="16">
        <f t="shared" si="2"/>
        <v>0</v>
      </c>
    </row>
    <row r="95" spans="1:21" ht="18" customHeight="1" x14ac:dyDescent="0.3">
      <c r="A95" s="9"/>
      <c r="B95" s="10"/>
      <c r="C95" s="10"/>
      <c r="D95" s="11"/>
      <c r="E95" s="28"/>
      <c r="F95" s="14"/>
      <c r="G95" s="14"/>
      <c r="H95" s="15"/>
      <c r="I95" s="15"/>
      <c r="J95" s="65"/>
      <c r="K95" s="52"/>
      <c r="L95" s="49"/>
      <c r="M95" s="49"/>
      <c r="N95" s="51"/>
      <c r="O95" s="51"/>
      <c r="P95" s="51"/>
      <c r="Q95" s="51"/>
      <c r="R95" s="51"/>
      <c r="S95" s="51"/>
      <c r="U95" s="16">
        <f t="shared" si="2"/>
        <v>0</v>
      </c>
    </row>
    <row r="96" spans="1:21" ht="18" customHeight="1" x14ac:dyDescent="0.3">
      <c r="A96" s="9"/>
      <c r="B96" s="10"/>
      <c r="C96" s="10"/>
      <c r="D96" s="11"/>
      <c r="E96" s="28"/>
      <c r="F96" s="14"/>
      <c r="G96" s="14"/>
      <c r="H96" s="15"/>
      <c r="I96" s="15"/>
      <c r="J96" s="65"/>
      <c r="K96" s="52"/>
      <c r="L96" s="49"/>
      <c r="M96" s="49"/>
      <c r="N96" s="51"/>
      <c r="O96" s="51"/>
      <c r="P96" s="51"/>
      <c r="Q96" s="51"/>
      <c r="R96" s="51"/>
      <c r="S96" s="51"/>
      <c r="U96" s="16">
        <f t="shared" si="2"/>
        <v>0</v>
      </c>
    </row>
    <row r="97" spans="1:21" ht="18" customHeight="1" x14ac:dyDescent="0.3">
      <c r="A97" s="9"/>
      <c r="B97" s="10"/>
      <c r="C97" s="10"/>
      <c r="D97" s="11"/>
      <c r="E97" s="28"/>
      <c r="F97" s="14"/>
      <c r="G97" s="14"/>
      <c r="H97" s="15"/>
      <c r="I97" s="15"/>
      <c r="J97" s="65"/>
      <c r="K97" s="52"/>
      <c r="L97" s="49"/>
      <c r="M97" s="49"/>
      <c r="N97" s="51"/>
      <c r="O97" s="51"/>
      <c r="P97" s="51"/>
      <c r="Q97" s="51"/>
      <c r="R97" s="51"/>
      <c r="S97" s="51"/>
      <c r="U97" s="16">
        <f t="shared" si="2"/>
        <v>0</v>
      </c>
    </row>
    <row r="98" spans="1:21" ht="18" customHeight="1" x14ac:dyDescent="0.3">
      <c r="A98" s="9"/>
      <c r="B98" s="10"/>
      <c r="C98" s="10"/>
      <c r="D98" s="11"/>
      <c r="E98" s="28"/>
      <c r="F98" s="14"/>
      <c r="G98" s="14"/>
      <c r="H98" s="15"/>
      <c r="I98" s="15"/>
      <c r="J98" s="65"/>
      <c r="K98" s="52"/>
      <c r="L98" s="49"/>
      <c r="M98" s="49"/>
      <c r="N98" s="51"/>
      <c r="O98" s="51"/>
      <c r="P98" s="51"/>
      <c r="Q98" s="51"/>
      <c r="R98" s="51"/>
      <c r="S98" s="51"/>
      <c r="U98" s="16">
        <f t="shared" si="2"/>
        <v>0</v>
      </c>
    </row>
    <row r="99" spans="1:21" ht="18" customHeight="1" x14ac:dyDescent="0.3">
      <c r="A99" s="9"/>
      <c r="B99" s="10"/>
      <c r="C99" s="10"/>
      <c r="D99" s="11"/>
      <c r="E99" s="28"/>
      <c r="F99" s="29"/>
      <c r="G99" s="29"/>
      <c r="H99" s="30"/>
      <c r="I99" s="30"/>
      <c r="J99" s="66"/>
      <c r="K99" s="54"/>
      <c r="L99" s="51"/>
      <c r="M99" s="51"/>
      <c r="N99" s="51"/>
      <c r="O99" s="51"/>
      <c r="P99" s="51"/>
      <c r="Q99" s="51"/>
      <c r="R99" s="51"/>
      <c r="S99" s="51"/>
      <c r="U99" s="16">
        <f t="shared" si="2"/>
        <v>0</v>
      </c>
    </row>
    <row r="100" spans="1:21" ht="18" customHeight="1" x14ac:dyDescent="0.3">
      <c r="A100" s="9"/>
      <c r="B100" s="10"/>
      <c r="C100" s="10"/>
      <c r="D100" s="11"/>
      <c r="E100" s="28"/>
      <c r="F100" s="29"/>
      <c r="G100" s="29"/>
      <c r="H100" s="30"/>
      <c r="I100" s="30"/>
      <c r="J100" s="66"/>
      <c r="K100" s="54"/>
      <c r="L100" s="51"/>
      <c r="M100" s="51"/>
      <c r="N100" s="51"/>
      <c r="O100" s="51"/>
      <c r="P100" s="51"/>
      <c r="Q100" s="51"/>
      <c r="R100" s="51"/>
      <c r="S100" s="51"/>
      <c r="U100" s="16">
        <f t="shared" si="2"/>
        <v>0</v>
      </c>
    </row>
    <row r="101" spans="1:21" ht="18" customHeight="1" x14ac:dyDescent="0.3">
      <c r="A101" s="9"/>
      <c r="B101" s="10"/>
      <c r="C101" s="10"/>
      <c r="D101" s="11"/>
      <c r="E101" s="28"/>
      <c r="F101" s="29"/>
      <c r="G101" s="29"/>
      <c r="H101" s="30"/>
      <c r="I101" s="30"/>
      <c r="J101" s="66"/>
      <c r="K101" s="54"/>
      <c r="L101" s="51"/>
      <c r="M101" s="51"/>
      <c r="N101" s="51"/>
      <c r="O101" s="51"/>
      <c r="P101" s="51"/>
      <c r="Q101" s="51"/>
      <c r="R101" s="51"/>
      <c r="S101" s="51"/>
      <c r="U101" s="16">
        <f t="shared" si="2"/>
        <v>0</v>
      </c>
    </row>
    <row r="102" spans="1:21" ht="18" customHeight="1" x14ac:dyDescent="0.3">
      <c r="A102" s="9"/>
      <c r="B102" s="10"/>
      <c r="C102" s="10"/>
      <c r="D102" s="11"/>
      <c r="E102" s="28"/>
      <c r="F102" s="29"/>
      <c r="G102" s="29"/>
      <c r="H102" s="30"/>
      <c r="I102" s="30"/>
      <c r="J102" s="66"/>
      <c r="K102" s="54"/>
      <c r="L102" s="51"/>
      <c r="M102" s="51"/>
      <c r="N102" s="51"/>
      <c r="O102" s="51"/>
      <c r="P102" s="51"/>
      <c r="Q102" s="51"/>
      <c r="R102" s="51"/>
      <c r="S102" s="51"/>
      <c r="U102" s="16">
        <f t="shared" si="2"/>
        <v>0</v>
      </c>
    </row>
    <row r="103" spans="1:21" ht="18" customHeight="1" x14ac:dyDescent="0.3">
      <c r="A103" s="9"/>
      <c r="B103" s="10"/>
      <c r="C103" s="10"/>
      <c r="D103" s="11"/>
      <c r="E103" s="28"/>
      <c r="F103" s="29"/>
      <c r="G103" s="29"/>
      <c r="H103" s="30"/>
      <c r="I103" s="30"/>
      <c r="J103" s="66"/>
      <c r="K103" s="54"/>
      <c r="L103" s="51"/>
      <c r="M103" s="51"/>
      <c r="N103" s="51"/>
      <c r="O103" s="51"/>
      <c r="P103" s="51"/>
      <c r="Q103" s="51"/>
      <c r="R103" s="51"/>
      <c r="S103" s="51"/>
      <c r="U103" s="16">
        <f t="shared" si="2"/>
        <v>0</v>
      </c>
    </row>
    <row r="104" spans="1:21" ht="18" customHeight="1" x14ac:dyDescent="0.3">
      <c r="A104" s="9"/>
      <c r="B104" s="10"/>
      <c r="C104" s="10"/>
      <c r="D104" s="11"/>
      <c r="E104" s="28"/>
      <c r="F104" s="29"/>
      <c r="G104" s="29"/>
      <c r="H104" s="30"/>
      <c r="I104" s="30"/>
      <c r="J104" s="66"/>
      <c r="K104" s="54"/>
      <c r="L104" s="51"/>
      <c r="M104" s="51"/>
      <c r="N104" s="51"/>
      <c r="O104" s="51"/>
      <c r="P104" s="51"/>
      <c r="Q104" s="51"/>
      <c r="R104" s="51"/>
      <c r="S104" s="51"/>
      <c r="U104" s="16">
        <f t="shared" si="2"/>
        <v>0</v>
      </c>
    </row>
    <row r="105" spans="1:21" ht="18" customHeight="1" x14ac:dyDescent="0.3">
      <c r="A105" s="9"/>
      <c r="B105" s="10"/>
      <c r="C105" s="10"/>
      <c r="D105" s="11"/>
      <c r="E105" s="28"/>
      <c r="F105" s="29"/>
      <c r="G105" s="29"/>
      <c r="H105" s="30"/>
      <c r="I105" s="30"/>
      <c r="J105" s="66"/>
      <c r="K105" s="54"/>
      <c r="L105" s="51"/>
      <c r="M105" s="51"/>
      <c r="N105" s="51"/>
      <c r="O105" s="51"/>
      <c r="P105" s="51"/>
      <c r="Q105" s="51"/>
      <c r="R105" s="51"/>
      <c r="S105" s="51"/>
      <c r="U105" s="16">
        <f t="shared" si="2"/>
        <v>0</v>
      </c>
    </row>
    <row r="106" spans="1:21" ht="18" customHeight="1" x14ac:dyDescent="0.3">
      <c r="A106" s="9"/>
      <c r="B106" s="10"/>
      <c r="C106" s="10"/>
      <c r="D106" s="11"/>
      <c r="E106" s="28"/>
      <c r="F106" s="29"/>
      <c r="G106" s="29"/>
      <c r="H106" s="30"/>
      <c r="I106" s="30"/>
      <c r="J106" s="66"/>
      <c r="K106" s="54"/>
      <c r="L106" s="51"/>
      <c r="M106" s="51"/>
      <c r="N106" s="51"/>
      <c r="O106" s="51"/>
      <c r="P106" s="51"/>
      <c r="Q106" s="51"/>
      <c r="R106" s="51"/>
      <c r="S106" s="51"/>
      <c r="U106" s="16">
        <f t="shared" si="2"/>
        <v>0</v>
      </c>
    </row>
    <row r="107" spans="1:21" ht="18" customHeight="1" x14ac:dyDescent="0.3">
      <c r="A107" s="9"/>
      <c r="B107" s="10"/>
      <c r="C107" s="10"/>
      <c r="D107" s="11"/>
      <c r="E107" s="28"/>
      <c r="F107" s="29"/>
      <c r="G107" s="29"/>
      <c r="H107" s="30"/>
      <c r="I107" s="30"/>
      <c r="J107" s="66"/>
      <c r="K107" s="54"/>
      <c r="L107" s="51"/>
      <c r="M107" s="51"/>
      <c r="N107" s="51"/>
      <c r="O107" s="51"/>
      <c r="P107" s="51"/>
      <c r="Q107" s="51"/>
      <c r="R107" s="51"/>
      <c r="S107" s="51"/>
      <c r="U107" s="16">
        <f t="shared" si="2"/>
        <v>0</v>
      </c>
    </row>
    <row r="108" spans="1:21" ht="18" customHeight="1" x14ac:dyDescent="0.3">
      <c r="A108" s="9"/>
      <c r="B108" s="10"/>
      <c r="C108" s="10"/>
      <c r="D108" s="11"/>
      <c r="E108" s="28"/>
      <c r="F108" s="29"/>
      <c r="G108" s="29"/>
      <c r="H108" s="30"/>
      <c r="I108" s="30"/>
      <c r="J108" s="66"/>
      <c r="K108" s="54"/>
      <c r="L108" s="51"/>
      <c r="M108" s="51"/>
      <c r="N108" s="51"/>
      <c r="O108" s="51"/>
      <c r="P108" s="51"/>
      <c r="Q108" s="51"/>
      <c r="R108" s="51"/>
      <c r="S108" s="51"/>
      <c r="U108" s="16">
        <f t="shared" si="2"/>
        <v>0</v>
      </c>
    </row>
    <row r="109" spans="1:21" ht="18" customHeight="1" x14ac:dyDescent="0.3">
      <c r="A109" s="9"/>
      <c r="B109" s="10"/>
      <c r="C109" s="10"/>
      <c r="D109" s="11"/>
      <c r="E109" s="28"/>
      <c r="F109" s="29"/>
      <c r="G109" s="29"/>
      <c r="H109" s="30"/>
      <c r="I109" s="30"/>
      <c r="J109" s="66"/>
      <c r="K109" s="54"/>
      <c r="L109" s="51"/>
      <c r="M109" s="51"/>
      <c r="N109" s="51"/>
      <c r="O109" s="51"/>
      <c r="P109" s="51"/>
      <c r="Q109" s="51"/>
      <c r="R109" s="51"/>
      <c r="S109" s="51"/>
      <c r="U109" s="16">
        <f t="shared" si="2"/>
        <v>0</v>
      </c>
    </row>
    <row r="110" spans="1:21" ht="18" customHeight="1" x14ac:dyDescent="0.3">
      <c r="A110" s="9"/>
      <c r="B110" s="10"/>
      <c r="C110" s="10"/>
      <c r="D110" s="11"/>
      <c r="E110" s="28"/>
      <c r="F110" s="29"/>
      <c r="G110" s="29"/>
      <c r="H110" s="30"/>
      <c r="I110" s="30"/>
      <c r="J110" s="66"/>
      <c r="K110" s="54"/>
      <c r="L110" s="51"/>
      <c r="M110" s="51"/>
      <c r="N110" s="51"/>
      <c r="O110" s="51"/>
      <c r="P110" s="51"/>
      <c r="Q110" s="51"/>
      <c r="R110" s="51"/>
      <c r="S110" s="51"/>
      <c r="U110" s="16">
        <f t="shared" si="2"/>
        <v>0</v>
      </c>
    </row>
    <row r="111" spans="1:21" ht="18" customHeight="1" x14ac:dyDescent="0.3">
      <c r="A111" s="9"/>
      <c r="B111" s="10"/>
      <c r="C111" s="10"/>
      <c r="D111" s="11"/>
      <c r="E111" s="28"/>
      <c r="F111" s="29"/>
      <c r="G111" s="29"/>
      <c r="H111" s="30"/>
      <c r="I111" s="30"/>
      <c r="J111" s="66"/>
      <c r="K111" s="54"/>
      <c r="L111" s="51"/>
      <c r="M111" s="51"/>
      <c r="N111" s="51"/>
      <c r="O111" s="51"/>
      <c r="P111" s="51"/>
      <c r="Q111" s="51"/>
      <c r="R111" s="51"/>
      <c r="S111" s="51"/>
      <c r="U111" s="16">
        <f t="shared" si="2"/>
        <v>0</v>
      </c>
    </row>
    <row r="112" spans="1:21" ht="18" customHeight="1" x14ac:dyDescent="0.3">
      <c r="A112" s="9"/>
      <c r="B112" s="10"/>
      <c r="C112" s="10"/>
      <c r="D112" s="11"/>
      <c r="E112" s="28"/>
      <c r="F112" s="29"/>
      <c r="G112" s="29"/>
      <c r="H112" s="30"/>
      <c r="I112" s="30"/>
      <c r="J112" s="66"/>
      <c r="K112" s="54"/>
      <c r="L112" s="51"/>
      <c r="M112" s="51"/>
      <c r="N112" s="51"/>
      <c r="O112" s="51"/>
      <c r="P112" s="51"/>
      <c r="Q112" s="51"/>
      <c r="R112" s="51"/>
      <c r="S112" s="51"/>
      <c r="U112" s="16">
        <f t="shared" si="2"/>
        <v>0</v>
      </c>
    </row>
    <row r="113" spans="1:21" ht="18" customHeight="1" x14ac:dyDescent="0.3">
      <c r="A113" s="9"/>
      <c r="B113" s="10"/>
      <c r="C113" s="10"/>
      <c r="D113" s="11"/>
      <c r="E113" s="28"/>
      <c r="F113" s="29"/>
      <c r="G113" s="29"/>
      <c r="H113" s="30"/>
      <c r="I113" s="30"/>
      <c r="J113" s="66"/>
      <c r="K113" s="54"/>
      <c r="L113" s="51"/>
      <c r="M113" s="51"/>
      <c r="N113" s="51"/>
      <c r="O113" s="51"/>
      <c r="P113" s="51"/>
      <c r="Q113" s="51"/>
      <c r="R113" s="51"/>
      <c r="S113" s="51"/>
      <c r="U113" s="16">
        <f t="shared" si="2"/>
        <v>0</v>
      </c>
    </row>
    <row r="114" spans="1:21" ht="18" customHeight="1" x14ac:dyDescent="0.3">
      <c r="A114" s="9"/>
      <c r="B114" s="10"/>
      <c r="C114" s="10"/>
      <c r="D114" s="11"/>
      <c r="E114" s="28"/>
      <c r="F114" s="29"/>
      <c r="G114" s="29"/>
      <c r="H114" s="30"/>
      <c r="I114" s="30"/>
      <c r="J114" s="66"/>
      <c r="K114" s="54"/>
      <c r="L114" s="51"/>
      <c r="M114" s="51"/>
      <c r="N114" s="51"/>
      <c r="O114" s="51"/>
      <c r="P114" s="51"/>
      <c r="Q114" s="51"/>
      <c r="R114" s="51"/>
      <c r="S114" s="51"/>
      <c r="U114" s="16">
        <f t="shared" si="2"/>
        <v>0</v>
      </c>
    </row>
    <row r="115" spans="1:21" ht="18" customHeight="1" x14ac:dyDescent="0.3">
      <c r="A115" s="9"/>
      <c r="B115" s="10"/>
      <c r="C115" s="10"/>
      <c r="D115" s="11"/>
      <c r="E115" s="28"/>
      <c r="F115" s="29"/>
      <c r="G115" s="29"/>
      <c r="H115" s="30"/>
      <c r="I115" s="30"/>
      <c r="J115" s="66"/>
      <c r="K115" s="54"/>
      <c r="L115" s="51"/>
      <c r="M115" s="51"/>
      <c r="N115" s="51"/>
      <c r="O115" s="51"/>
      <c r="P115" s="51"/>
      <c r="Q115" s="51"/>
      <c r="R115" s="51"/>
      <c r="S115" s="51"/>
      <c r="U115" s="16">
        <f t="shared" si="2"/>
        <v>0</v>
      </c>
    </row>
    <row r="116" spans="1:21" ht="18" customHeight="1" x14ac:dyDescent="0.3">
      <c r="A116" s="9"/>
      <c r="B116" s="10"/>
      <c r="C116" s="10"/>
      <c r="D116" s="11"/>
      <c r="E116" s="28"/>
      <c r="F116" s="29"/>
      <c r="G116" s="29"/>
      <c r="H116" s="30"/>
      <c r="I116" s="30"/>
      <c r="J116" s="66"/>
      <c r="K116" s="54"/>
      <c r="L116" s="51"/>
      <c r="M116" s="51"/>
      <c r="N116" s="51"/>
      <c r="O116" s="51"/>
      <c r="P116" s="51"/>
      <c r="Q116" s="51"/>
      <c r="R116" s="51"/>
      <c r="S116" s="51"/>
      <c r="U116" s="16">
        <f t="shared" si="2"/>
        <v>0</v>
      </c>
    </row>
    <row r="117" spans="1:21" ht="18" customHeight="1" x14ac:dyDescent="0.3">
      <c r="A117" s="9"/>
      <c r="B117" s="10"/>
      <c r="C117" s="10"/>
      <c r="D117" s="11"/>
      <c r="E117" s="28"/>
      <c r="F117" s="29"/>
      <c r="G117" s="29"/>
      <c r="H117" s="30"/>
      <c r="I117" s="30"/>
      <c r="J117" s="66"/>
      <c r="K117" s="54"/>
      <c r="L117" s="51"/>
      <c r="M117" s="51"/>
      <c r="N117" s="51"/>
      <c r="O117" s="51"/>
      <c r="P117" s="51"/>
      <c r="Q117" s="51"/>
      <c r="R117" s="51"/>
      <c r="S117" s="51"/>
      <c r="U117" s="16">
        <f t="shared" si="2"/>
        <v>0</v>
      </c>
    </row>
    <row r="118" spans="1:21" ht="18" customHeight="1" x14ac:dyDescent="0.3">
      <c r="A118" s="9"/>
      <c r="B118" s="10"/>
      <c r="C118" s="10"/>
      <c r="D118" s="11"/>
      <c r="E118" s="28"/>
      <c r="F118" s="29"/>
      <c r="G118" s="29"/>
      <c r="H118" s="30"/>
      <c r="I118" s="30"/>
      <c r="J118" s="66"/>
      <c r="K118" s="54"/>
      <c r="L118" s="51"/>
      <c r="M118" s="51"/>
      <c r="N118" s="51"/>
      <c r="O118" s="51"/>
      <c r="P118" s="51"/>
      <c r="Q118" s="51"/>
      <c r="R118" s="51"/>
      <c r="S118" s="51"/>
      <c r="U118" s="16">
        <f t="shared" si="2"/>
        <v>0</v>
      </c>
    </row>
    <row r="119" spans="1:21" ht="18" customHeight="1" x14ac:dyDescent="0.3">
      <c r="A119" s="9"/>
      <c r="B119" s="10"/>
      <c r="C119" s="10"/>
      <c r="D119" s="11"/>
      <c r="E119" s="28"/>
      <c r="F119" s="29"/>
      <c r="G119" s="29"/>
      <c r="H119" s="30"/>
      <c r="I119" s="30"/>
      <c r="J119" s="66"/>
      <c r="K119" s="54"/>
      <c r="L119" s="51"/>
      <c r="M119" s="51"/>
      <c r="N119" s="51"/>
      <c r="O119" s="51"/>
      <c r="P119" s="51"/>
      <c r="Q119" s="51"/>
      <c r="R119" s="51"/>
      <c r="S119" s="51"/>
      <c r="U119" s="16">
        <f t="shared" si="2"/>
        <v>0</v>
      </c>
    </row>
    <row r="120" spans="1:21" ht="18" customHeight="1" x14ac:dyDescent="0.3">
      <c r="A120" s="9"/>
      <c r="B120" s="10"/>
      <c r="C120" s="10"/>
      <c r="D120" s="11"/>
      <c r="E120" s="28"/>
      <c r="F120" s="29"/>
      <c r="G120" s="29"/>
      <c r="H120" s="30"/>
      <c r="I120" s="30"/>
      <c r="J120" s="66"/>
      <c r="K120" s="54"/>
      <c r="L120" s="51"/>
      <c r="M120" s="51"/>
      <c r="N120" s="51"/>
      <c r="O120" s="51"/>
      <c r="P120" s="51"/>
      <c r="Q120" s="51"/>
      <c r="R120" s="51"/>
      <c r="S120" s="51"/>
    </row>
    <row r="121" spans="1:21" ht="18" customHeight="1" x14ac:dyDescent="0.3">
      <c r="A121" s="9"/>
      <c r="B121" s="10"/>
      <c r="C121" s="10"/>
      <c r="D121" s="11"/>
      <c r="E121" s="28"/>
      <c r="F121" s="29"/>
      <c r="G121" s="29"/>
      <c r="H121" s="30"/>
      <c r="I121" s="30"/>
      <c r="J121" s="66"/>
      <c r="K121" s="54"/>
      <c r="L121" s="51"/>
      <c r="M121" s="51"/>
      <c r="N121" s="51"/>
      <c r="O121" s="51"/>
      <c r="P121" s="51"/>
      <c r="Q121" s="51"/>
      <c r="R121" s="51"/>
      <c r="S121" s="51"/>
    </row>
    <row r="122" spans="1:21" ht="18" customHeight="1" x14ac:dyDescent="0.3">
      <c r="A122" s="9"/>
      <c r="B122" s="10"/>
      <c r="C122" s="10"/>
      <c r="D122" s="11"/>
      <c r="E122" s="28"/>
      <c r="F122" s="29"/>
      <c r="G122" s="29"/>
      <c r="H122" s="30"/>
      <c r="I122" s="30"/>
      <c r="J122" s="66"/>
      <c r="K122" s="54"/>
      <c r="L122" s="51"/>
      <c r="M122" s="51"/>
      <c r="N122" s="51"/>
      <c r="O122" s="51"/>
      <c r="P122" s="51"/>
      <c r="Q122" s="51"/>
      <c r="R122" s="51"/>
      <c r="S122" s="51"/>
    </row>
    <row r="123" spans="1:21" x14ac:dyDescent="0.3">
      <c r="J123" s="67"/>
    </row>
    <row r="124" spans="1:21" x14ac:dyDescent="0.3">
      <c r="J124" s="67"/>
    </row>
    <row r="125" spans="1:21" x14ac:dyDescent="0.3">
      <c r="J125" s="67"/>
    </row>
    <row r="126" spans="1:21" x14ac:dyDescent="0.3">
      <c r="J126" s="67"/>
    </row>
    <row r="127" spans="1:21" x14ac:dyDescent="0.3">
      <c r="J127" s="67"/>
    </row>
    <row r="128" spans="1:21" x14ac:dyDescent="0.3">
      <c r="J128" s="67"/>
    </row>
    <row r="129" spans="10:10" x14ac:dyDescent="0.3">
      <c r="J129" s="67"/>
    </row>
    <row r="130" spans="10:10" x14ac:dyDescent="0.3">
      <c r="J130" s="67"/>
    </row>
    <row r="131" spans="10:10" x14ac:dyDescent="0.3">
      <c r="J131" s="67"/>
    </row>
    <row r="132" spans="10:10" x14ac:dyDescent="0.3">
      <c r="J132" s="67"/>
    </row>
    <row r="133" spans="10:10" x14ac:dyDescent="0.3">
      <c r="J133" s="67"/>
    </row>
    <row r="134" spans="10:10" x14ac:dyDescent="0.3">
      <c r="J134" s="67"/>
    </row>
    <row r="135" spans="10:10" x14ac:dyDescent="0.3">
      <c r="J135" s="67"/>
    </row>
    <row r="136" spans="10:10" x14ac:dyDescent="0.3">
      <c r="J136" s="67"/>
    </row>
    <row r="137" spans="10:10" x14ac:dyDescent="0.3">
      <c r="J137" s="67"/>
    </row>
    <row r="138" spans="10:10" x14ac:dyDescent="0.3">
      <c r="J138" s="67"/>
    </row>
    <row r="139" spans="10:10" x14ac:dyDescent="0.3">
      <c r="J139" s="67"/>
    </row>
    <row r="140" spans="10:10" x14ac:dyDescent="0.3">
      <c r="J140" s="67"/>
    </row>
    <row r="141" spans="10:10" x14ac:dyDescent="0.3">
      <c r="J141" s="67"/>
    </row>
    <row r="142" spans="10:10" x14ac:dyDescent="0.3">
      <c r="J142" s="67"/>
    </row>
    <row r="143" spans="10:10" x14ac:dyDescent="0.3">
      <c r="J143" s="67"/>
    </row>
    <row r="144" spans="10:10" x14ac:dyDescent="0.3">
      <c r="J144" s="67"/>
    </row>
    <row r="145" spans="10:10" x14ac:dyDescent="0.3">
      <c r="J145" s="67"/>
    </row>
    <row r="146" spans="10:10" x14ac:dyDescent="0.3">
      <c r="J146" s="67"/>
    </row>
    <row r="147" spans="10:10" x14ac:dyDescent="0.3">
      <c r="J147" s="67"/>
    </row>
    <row r="148" spans="10:10" x14ac:dyDescent="0.3">
      <c r="J148" s="67"/>
    </row>
    <row r="149" spans="10:10" x14ac:dyDescent="0.3">
      <c r="J149" s="67"/>
    </row>
    <row r="150" spans="10:10" x14ac:dyDescent="0.3">
      <c r="J150" s="67"/>
    </row>
    <row r="151" spans="10:10" x14ac:dyDescent="0.3">
      <c r="J151" s="67"/>
    </row>
    <row r="152" spans="10:10" x14ac:dyDescent="0.3">
      <c r="J152" s="67"/>
    </row>
    <row r="153" spans="10:10" x14ac:dyDescent="0.3">
      <c r="J153" s="67"/>
    </row>
    <row r="154" spans="10:10" x14ac:dyDescent="0.3">
      <c r="J154" s="67"/>
    </row>
    <row r="155" spans="10:10" x14ac:dyDescent="0.3">
      <c r="J155" s="67"/>
    </row>
    <row r="156" spans="10:10" x14ac:dyDescent="0.3">
      <c r="J156" s="67"/>
    </row>
    <row r="157" spans="10:10" x14ac:dyDescent="0.3">
      <c r="J157" s="67"/>
    </row>
    <row r="158" spans="10:10" x14ac:dyDescent="0.3">
      <c r="J158" s="67"/>
    </row>
    <row r="159" spans="10:10" x14ac:dyDescent="0.3">
      <c r="J159" s="67"/>
    </row>
    <row r="160" spans="10:10" x14ac:dyDescent="0.3">
      <c r="J160" s="67"/>
    </row>
    <row r="161" spans="10:10" x14ac:dyDescent="0.3">
      <c r="J161" s="67"/>
    </row>
    <row r="162" spans="10:10" x14ac:dyDescent="0.3">
      <c r="J162" s="67"/>
    </row>
    <row r="163" spans="10:10" x14ac:dyDescent="0.3">
      <c r="J163" s="67"/>
    </row>
    <row r="164" spans="10:10" x14ac:dyDescent="0.3">
      <c r="J164" s="67"/>
    </row>
    <row r="165" spans="10:10" x14ac:dyDescent="0.3">
      <c r="J165" s="67"/>
    </row>
    <row r="166" spans="10:10" x14ac:dyDescent="0.3">
      <c r="J166" s="67"/>
    </row>
    <row r="167" spans="10:10" x14ac:dyDescent="0.3">
      <c r="J167" s="67"/>
    </row>
    <row r="168" spans="10:10" x14ac:dyDescent="0.3">
      <c r="J168" s="67"/>
    </row>
    <row r="169" spans="10:10" x14ac:dyDescent="0.3">
      <c r="J169" s="67"/>
    </row>
    <row r="170" spans="10:10" x14ac:dyDescent="0.3">
      <c r="J170" s="67"/>
    </row>
    <row r="171" spans="10:10" x14ac:dyDescent="0.3">
      <c r="J171" s="67"/>
    </row>
    <row r="172" spans="10:10" x14ac:dyDescent="0.3">
      <c r="J172" s="67"/>
    </row>
    <row r="173" spans="10:10" x14ac:dyDescent="0.3">
      <c r="J173" s="67"/>
    </row>
    <row r="174" spans="10:10" x14ac:dyDescent="0.3">
      <c r="J174" s="67"/>
    </row>
    <row r="175" spans="10:10" x14ac:dyDescent="0.3">
      <c r="J175" s="67"/>
    </row>
    <row r="176" spans="10:10" x14ac:dyDescent="0.3">
      <c r="J176" s="67"/>
    </row>
    <row r="177" spans="10:10" x14ac:dyDescent="0.3">
      <c r="J177" s="67"/>
    </row>
    <row r="178" spans="10:10" x14ac:dyDescent="0.3">
      <c r="J178" s="67"/>
    </row>
    <row r="179" spans="10:10" x14ac:dyDescent="0.3">
      <c r="J179" s="67"/>
    </row>
    <row r="180" spans="10:10" x14ac:dyDescent="0.3">
      <c r="J180" s="67"/>
    </row>
    <row r="181" spans="10:10" x14ac:dyDescent="0.3">
      <c r="J181" s="67"/>
    </row>
    <row r="182" spans="10:10" x14ac:dyDescent="0.3">
      <c r="J182" s="67"/>
    </row>
    <row r="183" spans="10:10" x14ac:dyDescent="0.3">
      <c r="J183" s="67"/>
    </row>
    <row r="184" spans="10:10" x14ac:dyDescent="0.3">
      <c r="J184" s="67"/>
    </row>
    <row r="185" spans="10:10" x14ac:dyDescent="0.3">
      <c r="J185" s="67"/>
    </row>
    <row r="186" spans="10:10" x14ac:dyDescent="0.3">
      <c r="J186" s="67"/>
    </row>
    <row r="187" spans="10:10" x14ac:dyDescent="0.3">
      <c r="J187" s="67"/>
    </row>
    <row r="188" spans="10:10" x14ac:dyDescent="0.3">
      <c r="J188" s="67"/>
    </row>
    <row r="189" spans="10:10" x14ac:dyDescent="0.3">
      <c r="J189" s="67"/>
    </row>
    <row r="190" spans="10:10" x14ac:dyDescent="0.3">
      <c r="J190" s="67"/>
    </row>
    <row r="191" spans="10:10" x14ac:dyDescent="0.3">
      <c r="J191" s="67"/>
    </row>
    <row r="192" spans="10:10" x14ac:dyDescent="0.3">
      <c r="J192" s="67"/>
    </row>
    <row r="193" spans="10:10" x14ac:dyDescent="0.3">
      <c r="J193" s="67"/>
    </row>
    <row r="194" spans="10:10" x14ac:dyDescent="0.3">
      <c r="J194" s="67"/>
    </row>
    <row r="195" spans="10:10" x14ac:dyDescent="0.3">
      <c r="J195" s="67"/>
    </row>
    <row r="196" spans="10:10" x14ac:dyDescent="0.3">
      <c r="J196" s="67"/>
    </row>
    <row r="197" spans="10:10" x14ac:dyDescent="0.3">
      <c r="J197" s="67"/>
    </row>
    <row r="198" spans="10:10" x14ac:dyDescent="0.3">
      <c r="J198" s="67"/>
    </row>
    <row r="199" spans="10:10" x14ac:dyDescent="0.3">
      <c r="J199" s="67"/>
    </row>
    <row r="200" spans="10:10" x14ac:dyDescent="0.3">
      <c r="J200" s="67"/>
    </row>
    <row r="201" spans="10:10" x14ac:dyDescent="0.3">
      <c r="J201" s="67"/>
    </row>
    <row r="202" spans="10:10" x14ac:dyDescent="0.3">
      <c r="J202" s="67"/>
    </row>
    <row r="203" spans="10:10" x14ac:dyDescent="0.3">
      <c r="J203" s="67"/>
    </row>
    <row r="204" spans="10:10" x14ac:dyDescent="0.3">
      <c r="J204" s="67"/>
    </row>
    <row r="205" spans="10:10" x14ac:dyDescent="0.3">
      <c r="J205" s="67"/>
    </row>
    <row r="206" spans="10:10" x14ac:dyDescent="0.3">
      <c r="J206" s="67"/>
    </row>
    <row r="207" spans="10:10" x14ac:dyDescent="0.3">
      <c r="J207" s="67"/>
    </row>
    <row r="208" spans="10:10" x14ac:dyDescent="0.3">
      <c r="J208" s="67"/>
    </row>
    <row r="209" spans="10:10" x14ac:dyDescent="0.3">
      <c r="J209" s="67"/>
    </row>
    <row r="210" spans="10:10" x14ac:dyDescent="0.3">
      <c r="J210" s="67"/>
    </row>
    <row r="211" spans="10:10" x14ac:dyDescent="0.3">
      <c r="J211" s="67"/>
    </row>
    <row r="212" spans="10:10" x14ac:dyDescent="0.3">
      <c r="J212" s="67"/>
    </row>
    <row r="213" spans="10:10" x14ac:dyDescent="0.3">
      <c r="J213" s="67"/>
    </row>
    <row r="214" spans="10:10" x14ac:dyDescent="0.3">
      <c r="J214" s="67"/>
    </row>
    <row r="215" spans="10:10" x14ac:dyDescent="0.3">
      <c r="J215" s="67"/>
    </row>
    <row r="216" spans="10:10" x14ac:dyDescent="0.3">
      <c r="J216" s="67"/>
    </row>
    <row r="217" spans="10:10" x14ac:dyDescent="0.3">
      <c r="J217" s="67"/>
    </row>
    <row r="218" spans="10:10" x14ac:dyDescent="0.3">
      <c r="J218" s="67"/>
    </row>
    <row r="219" spans="10:10" x14ac:dyDescent="0.3">
      <c r="J219" s="67"/>
    </row>
    <row r="220" spans="10:10" x14ac:dyDescent="0.3">
      <c r="J220" s="67"/>
    </row>
    <row r="221" spans="10:10" x14ac:dyDescent="0.3">
      <c r="J221" s="67"/>
    </row>
    <row r="222" spans="10:10" x14ac:dyDescent="0.3">
      <c r="J222" s="67"/>
    </row>
    <row r="223" spans="10:10" x14ac:dyDescent="0.3">
      <c r="J223" s="67"/>
    </row>
    <row r="224" spans="10:10" x14ac:dyDescent="0.3">
      <c r="J224" s="67"/>
    </row>
    <row r="225" spans="10:10" x14ac:dyDescent="0.3">
      <c r="J225" s="67"/>
    </row>
    <row r="226" spans="10:10" x14ac:dyDescent="0.3">
      <c r="J226" s="67"/>
    </row>
    <row r="227" spans="10:10" x14ac:dyDescent="0.3">
      <c r="J227" s="67"/>
    </row>
    <row r="228" spans="10:10" x14ac:dyDescent="0.3">
      <c r="J228" s="67"/>
    </row>
    <row r="229" spans="10:10" x14ac:dyDescent="0.3">
      <c r="J229" s="67"/>
    </row>
    <row r="230" spans="10:10" x14ac:dyDescent="0.3">
      <c r="J230" s="67"/>
    </row>
    <row r="231" spans="10:10" x14ac:dyDescent="0.3">
      <c r="J231" s="67"/>
    </row>
    <row r="232" spans="10:10" x14ac:dyDescent="0.3">
      <c r="J232" s="67"/>
    </row>
    <row r="233" spans="10:10" x14ac:dyDescent="0.3">
      <c r="J233" s="67"/>
    </row>
    <row r="234" spans="10:10" x14ac:dyDescent="0.3">
      <c r="J234" s="67"/>
    </row>
    <row r="235" spans="10:10" x14ac:dyDescent="0.3">
      <c r="J235" s="67"/>
    </row>
    <row r="236" spans="10:10" x14ac:dyDescent="0.3">
      <c r="J236" s="67"/>
    </row>
    <row r="237" spans="10:10" x14ac:dyDescent="0.3">
      <c r="J237" s="67"/>
    </row>
    <row r="238" spans="10:10" x14ac:dyDescent="0.3">
      <c r="J238" s="67"/>
    </row>
    <row r="239" spans="10:10" x14ac:dyDescent="0.3">
      <c r="J239" s="67"/>
    </row>
    <row r="240" spans="10:10" x14ac:dyDescent="0.3">
      <c r="J240" s="67"/>
    </row>
    <row r="241" spans="10:10" x14ac:dyDescent="0.3">
      <c r="J241" s="67"/>
    </row>
    <row r="242" spans="10:10" x14ac:dyDescent="0.3">
      <c r="J242" s="67"/>
    </row>
    <row r="243" spans="10:10" x14ac:dyDescent="0.3">
      <c r="J243" s="67"/>
    </row>
    <row r="244" spans="10:10" x14ac:dyDescent="0.3">
      <c r="J244" s="67"/>
    </row>
    <row r="245" spans="10:10" x14ac:dyDescent="0.3">
      <c r="J245" s="67"/>
    </row>
    <row r="246" spans="10:10" x14ac:dyDescent="0.3">
      <c r="J246" s="67"/>
    </row>
    <row r="247" spans="10:10" x14ac:dyDescent="0.3">
      <c r="J247" s="67"/>
    </row>
    <row r="248" spans="10:10" x14ac:dyDescent="0.3">
      <c r="J248" s="67"/>
    </row>
    <row r="249" spans="10:10" x14ac:dyDescent="0.3">
      <c r="J249" s="67"/>
    </row>
    <row r="250" spans="10:10" x14ac:dyDescent="0.3">
      <c r="J250" s="67"/>
    </row>
    <row r="251" spans="10:10" x14ac:dyDescent="0.3">
      <c r="J251" s="67"/>
    </row>
    <row r="252" spans="10:10" x14ac:dyDescent="0.3">
      <c r="J252" s="67"/>
    </row>
    <row r="253" spans="10:10" x14ac:dyDescent="0.3">
      <c r="J253" s="67"/>
    </row>
  </sheetData>
  <mergeCells count="1">
    <mergeCell ref="A2:J2"/>
  </mergeCells>
  <phoneticPr fontId="2" type="noConversion"/>
  <printOptions horizontalCentered="1"/>
  <pageMargins left="0.70866141732283472" right="0.70866141732283472" top="0.39370078740157483" bottom="0.55118110236220474" header="0" footer="0.11811023622047245"/>
  <pageSetup paperSize="9" orientation="landscape" r:id="rId1"/>
  <headerFooter>
    <oddFooter>&amp;C&amp;P/&amp;"/,보통"&amp;N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/>
  </sheetPr>
  <dimension ref="B1:N48"/>
  <sheetViews>
    <sheetView workbookViewId="0">
      <selection activeCell="P17" sqref="P17"/>
    </sheetView>
  </sheetViews>
  <sheetFormatPr defaultRowHeight="16.5" x14ac:dyDescent="0.3"/>
  <cols>
    <col min="5" max="5" width="19.25" customWidth="1"/>
    <col min="10" max="10" width="3.625" customWidth="1"/>
    <col min="12" max="12" width="9" customWidth="1"/>
  </cols>
  <sheetData>
    <row r="1" spans="2:8" x14ac:dyDescent="0.3">
      <c r="E1" t="s">
        <v>11</v>
      </c>
      <c r="F1" t="s">
        <v>12</v>
      </c>
    </row>
    <row r="2" spans="2:8" x14ac:dyDescent="0.3">
      <c r="E2" t="s">
        <v>13</v>
      </c>
      <c r="F2" t="s">
        <v>14</v>
      </c>
    </row>
    <row r="4" spans="2:8" x14ac:dyDescent="0.3">
      <c r="B4" s="40" t="s">
        <v>15</v>
      </c>
      <c r="C4" s="40" t="s">
        <v>16</v>
      </c>
      <c r="E4" t="s">
        <v>17</v>
      </c>
      <c r="F4" t="s">
        <v>18</v>
      </c>
      <c r="G4" t="s">
        <v>19</v>
      </c>
      <c r="H4" t="s">
        <v>20</v>
      </c>
    </row>
    <row r="5" spans="2:8" x14ac:dyDescent="0.3">
      <c r="B5" s="41" t="s">
        <v>21</v>
      </c>
      <c r="C5" s="42" t="s">
        <v>22</v>
      </c>
      <c r="E5" s="43" t="s">
        <v>23</v>
      </c>
      <c r="F5">
        <v>2</v>
      </c>
      <c r="G5" t="s">
        <v>24</v>
      </c>
      <c r="H5">
        <v>50000</v>
      </c>
    </row>
    <row r="6" spans="2:8" x14ac:dyDescent="0.3">
      <c r="B6" s="41" t="s">
        <v>25</v>
      </c>
      <c r="C6" s="42" t="s">
        <v>26</v>
      </c>
      <c r="E6" s="43" t="s">
        <v>27</v>
      </c>
      <c r="F6">
        <v>4</v>
      </c>
      <c r="G6" t="s">
        <v>24</v>
      </c>
      <c r="H6">
        <v>50000</v>
      </c>
    </row>
    <row r="7" spans="2:8" x14ac:dyDescent="0.3">
      <c r="B7" s="41" t="s">
        <v>28</v>
      </c>
      <c r="C7" s="42" t="s">
        <v>29</v>
      </c>
      <c r="E7" s="43" t="s">
        <v>30</v>
      </c>
      <c r="F7">
        <v>5</v>
      </c>
      <c r="G7" t="s">
        <v>31</v>
      </c>
      <c r="H7">
        <v>30000</v>
      </c>
    </row>
    <row r="8" spans="2:8" x14ac:dyDescent="0.3">
      <c r="B8" s="41" t="s">
        <v>32</v>
      </c>
      <c r="C8" s="44"/>
      <c r="E8" s="43" t="s">
        <v>33</v>
      </c>
      <c r="F8">
        <v>5</v>
      </c>
      <c r="G8" t="s">
        <v>34</v>
      </c>
      <c r="H8">
        <v>30000</v>
      </c>
    </row>
    <row r="9" spans="2:8" x14ac:dyDescent="0.3">
      <c r="B9" s="41"/>
      <c r="E9" s="43" t="s">
        <v>35</v>
      </c>
      <c r="F9">
        <v>1</v>
      </c>
      <c r="G9">
        <v>50000</v>
      </c>
      <c r="H9">
        <v>50000</v>
      </c>
    </row>
    <row r="10" spans="2:8" x14ac:dyDescent="0.3">
      <c r="B10" s="41"/>
      <c r="E10" s="43" t="s">
        <v>36</v>
      </c>
      <c r="F10">
        <v>3</v>
      </c>
      <c r="G10" t="s">
        <v>24</v>
      </c>
      <c r="H10">
        <v>30000</v>
      </c>
    </row>
    <row r="11" spans="2:8" x14ac:dyDescent="0.3">
      <c r="B11" s="41"/>
      <c r="E11" s="43" t="s">
        <v>37</v>
      </c>
      <c r="F11">
        <v>2</v>
      </c>
      <c r="G11">
        <v>200000</v>
      </c>
      <c r="H11">
        <v>100000</v>
      </c>
    </row>
    <row r="12" spans="2:8" x14ac:dyDescent="0.3">
      <c r="E12" s="43" t="s">
        <v>38</v>
      </c>
      <c r="F12">
        <v>3</v>
      </c>
      <c r="G12" t="s">
        <v>24</v>
      </c>
      <c r="H12">
        <v>10000</v>
      </c>
    </row>
    <row r="13" spans="2:8" x14ac:dyDescent="0.3">
      <c r="E13" s="43" t="s">
        <v>39</v>
      </c>
      <c r="F13">
        <v>1</v>
      </c>
      <c r="G13">
        <v>300000</v>
      </c>
      <c r="H13">
        <v>50000</v>
      </c>
    </row>
    <row r="14" spans="2:8" x14ac:dyDescent="0.3">
      <c r="E14" s="43" t="s">
        <v>40</v>
      </c>
      <c r="F14">
        <v>5</v>
      </c>
      <c r="G14" t="s">
        <v>24</v>
      </c>
      <c r="H14">
        <v>30000</v>
      </c>
    </row>
    <row r="15" spans="2:8" x14ac:dyDescent="0.3">
      <c r="E15" s="43" t="s">
        <v>41</v>
      </c>
      <c r="F15">
        <v>2</v>
      </c>
      <c r="G15" t="s">
        <v>24</v>
      </c>
      <c r="H15">
        <v>50000</v>
      </c>
    </row>
    <row r="16" spans="2:8" x14ac:dyDescent="0.3">
      <c r="E16" s="43" t="s">
        <v>42</v>
      </c>
      <c r="F16">
        <v>2</v>
      </c>
      <c r="G16" t="s">
        <v>31</v>
      </c>
      <c r="H16">
        <v>50000</v>
      </c>
    </row>
    <row r="17" spans="5:8" x14ac:dyDescent="0.3">
      <c r="E17" s="43" t="s">
        <v>43</v>
      </c>
      <c r="F17">
        <v>5</v>
      </c>
      <c r="G17" t="s">
        <v>44</v>
      </c>
      <c r="H17">
        <v>30000</v>
      </c>
    </row>
    <row r="18" spans="5:8" x14ac:dyDescent="0.3">
      <c r="E18" s="44" t="s">
        <v>45</v>
      </c>
      <c r="F18" s="44">
        <v>3</v>
      </c>
      <c r="G18" s="44" t="s">
        <v>24</v>
      </c>
      <c r="H18" s="44">
        <v>30000</v>
      </c>
    </row>
    <row r="19" spans="5:8" x14ac:dyDescent="0.3">
      <c r="E19" s="44" t="s">
        <v>46</v>
      </c>
      <c r="F19" s="44">
        <v>3</v>
      </c>
      <c r="G19" s="44" t="s">
        <v>24</v>
      </c>
      <c r="H19" s="44">
        <v>30000</v>
      </c>
    </row>
    <row r="20" spans="5:8" x14ac:dyDescent="0.3">
      <c r="E20" s="44" t="s">
        <v>47</v>
      </c>
      <c r="F20" s="44">
        <v>3</v>
      </c>
      <c r="G20" s="44" t="s">
        <v>24</v>
      </c>
      <c r="H20" s="44">
        <v>30000</v>
      </c>
    </row>
    <row r="21" spans="5:8" x14ac:dyDescent="0.3">
      <c r="E21" s="44" t="s">
        <v>48</v>
      </c>
      <c r="F21" s="44">
        <v>5</v>
      </c>
      <c r="G21" s="44" t="s">
        <v>49</v>
      </c>
      <c r="H21" s="44">
        <v>30000</v>
      </c>
    </row>
    <row r="22" spans="5:8" x14ac:dyDescent="0.3">
      <c r="E22" s="44"/>
      <c r="F22" s="44"/>
      <c r="G22" s="44"/>
      <c r="H22" s="44"/>
    </row>
    <row r="23" spans="5:8" x14ac:dyDescent="0.3">
      <c r="E23" s="44"/>
      <c r="F23" s="44"/>
      <c r="G23" s="44"/>
      <c r="H23" s="44"/>
    </row>
    <row r="24" spans="5:8" x14ac:dyDescent="0.3">
      <c r="E24" s="44"/>
      <c r="F24" s="44"/>
      <c r="G24" s="44"/>
      <c r="H24" s="44"/>
    </row>
    <row r="25" spans="5:8" x14ac:dyDescent="0.3">
      <c r="E25" s="44"/>
      <c r="F25" s="44"/>
      <c r="G25" s="44"/>
      <c r="H25" s="44"/>
    </row>
    <row r="26" spans="5:8" x14ac:dyDescent="0.3">
      <c r="E26" s="44"/>
      <c r="F26" s="44"/>
      <c r="G26" s="44"/>
      <c r="H26" s="44"/>
    </row>
    <row r="27" spans="5:8" x14ac:dyDescent="0.3">
      <c r="E27" s="44"/>
      <c r="F27" s="44"/>
      <c r="G27" s="44"/>
      <c r="H27" s="44"/>
    </row>
    <row r="28" spans="5:8" x14ac:dyDescent="0.3">
      <c r="E28" s="44"/>
      <c r="F28" s="44"/>
      <c r="G28" s="44"/>
      <c r="H28" s="44"/>
    </row>
    <row r="29" spans="5:8" x14ac:dyDescent="0.3">
      <c r="E29" s="44"/>
      <c r="F29" s="44"/>
      <c r="G29" s="44"/>
      <c r="H29" s="44"/>
    </row>
    <row r="30" spans="5:8" x14ac:dyDescent="0.3">
      <c r="E30" s="44"/>
      <c r="F30" s="44"/>
      <c r="G30" s="44"/>
      <c r="H30" s="44"/>
    </row>
    <row r="31" spans="5:8" x14ac:dyDescent="0.3">
      <c r="E31" s="43" t="s">
        <v>50</v>
      </c>
      <c r="F31">
        <v>1</v>
      </c>
      <c r="G31">
        <v>0</v>
      </c>
    </row>
    <row r="32" spans="5:8" x14ac:dyDescent="0.3">
      <c r="E32" s="43" t="s">
        <v>51</v>
      </c>
      <c r="F32">
        <v>1</v>
      </c>
      <c r="G32">
        <v>50000</v>
      </c>
    </row>
    <row r="47" spans="10:14" x14ac:dyDescent="0.3">
      <c r="J47" s="63" t="s">
        <v>52</v>
      </c>
      <c r="K47" s="46" t="s">
        <v>53</v>
      </c>
      <c r="L47" s="46" t="s">
        <v>54</v>
      </c>
      <c r="M47" s="46" t="s">
        <v>55</v>
      </c>
      <c r="N47" s="46" t="s">
        <v>56</v>
      </c>
    </row>
    <row r="48" spans="10:14" ht="51" customHeight="1" x14ac:dyDescent="0.3">
      <c r="J48" s="64"/>
      <c r="K48" s="45"/>
      <c r="L48" s="45"/>
      <c r="M48" s="45"/>
      <c r="N48" s="45"/>
    </row>
  </sheetData>
  <mergeCells count="1">
    <mergeCell ref="J47:J4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2</vt:i4>
      </vt:variant>
    </vt:vector>
  </HeadingPairs>
  <TitlesOfParts>
    <vt:vector size="4" baseType="lpstr">
      <vt:lpstr>내역</vt:lpstr>
      <vt:lpstr>그림</vt:lpstr>
      <vt:lpstr>내역!Print_Area</vt:lpstr>
      <vt:lpstr>내역!Print_Titles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김영준</dc:creator>
  <cp:lastModifiedBy>김영준</cp:lastModifiedBy>
  <dcterms:created xsi:type="dcterms:W3CDTF">2023-01-26T02:58:46Z</dcterms:created>
  <dcterms:modified xsi:type="dcterms:W3CDTF">2026-01-12T08:41:48Z</dcterms:modified>
</cp:coreProperties>
</file>